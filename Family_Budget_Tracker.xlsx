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orse\Documents\GitHub\family-budget-excel-project\"/>
    </mc:Choice>
  </mc:AlternateContent>
  <bookViews>
    <workbookView xWindow="0" yWindow="0" windowWidth="20490" windowHeight="7650"/>
  </bookViews>
  <sheets>
    <sheet name="NOV 2025" sheetId="4" r:id="rId1"/>
    <sheet name="Pivot Table 1" sheetId="5" r:id="rId2"/>
  </sheets>
  <calcPr calcId="162913"/>
  <pivotCaches>
    <pivotCache cacheId="4" r:id="rId3"/>
  </pivotCaches>
</workbook>
</file>

<file path=xl/calcChain.xml><?xml version="1.0" encoding="utf-8"?>
<calcChain xmlns="http://schemas.openxmlformats.org/spreadsheetml/2006/main">
  <c r="H2" i="4" l="1"/>
</calcChain>
</file>

<file path=xl/sharedStrings.xml><?xml version="1.0" encoding="utf-8"?>
<sst xmlns="http://schemas.openxmlformats.org/spreadsheetml/2006/main" count="107" uniqueCount="53">
  <si>
    <t>Sr no</t>
  </si>
  <si>
    <t>Date</t>
  </si>
  <si>
    <t xml:space="preserve">Person </t>
  </si>
  <si>
    <t xml:space="preserve">Expenses Category </t>
  </si>
  <si>
    <t xml:space="preserve">Mode of Payment </t>
  </si>
  <si>
    <t xml:space="preserve">Expense Amount </t>
  </si>
  <si>
    <t xml:space="preserve">Notes </t>
  </si>
  <si>
    <t>TOTAL</t>
  </si>
  <si>
    <t>Mahi</t>
  </si>
  <si>
    <t>Outside Food</t>
  </si>
  <si>
    <t>UPI</t>
  </si>
  <si>
    <t>Groceries</t>
  </si>
  <si>
    <t>Other</t>
  </si>
  <si>
    <t>Fule</t>
  </si>
  <si>
    <t>Transportation</t>
  </si>
  <si>
    <t>Online Shopping</t>
  </si>
  <si>
    <t>Food</t>
  </si>
  <si>
    <t>Dining Out</t>
  </si>
  <si>
    <t>Shri</t>
  </si>
  <si>
    <t>Internet</t>
  </si>
  <si>
    <t>Rent</t>
  </si>
  <si>
    <t>Chaha</t>
  </si>
  <si>
    <t>Dudh</t>
  </si>
  <si>
    <t xml:space="preserve">Parking </t>
  </si>
  <si>
    <t>Doctor Visits</t>
  </si>
  <si>
    <t>Dr munde</t>
  </si>
  <si>
    <t xml:space="preserve">Medical </t>
  </si>
  <si>
    <t xml:space="preserve">Night dress flipkart </t>
  </si>
  <si>
    <t>Pizza</t>
  </si>
  <si>
    <t xml:space="preserve">panipuri </t>
  </si>
  <si>
    <t>triple rice</t>
  </si>
  <si>
    <t xml:space="preserve">Sandwich </t>
  </si>
  <si>
    <t>Nov Dec Rent</t>
  </si>
  <si>
    <t>Banan Chips</t>
  </si>
  <si>
    <t>Petrol Shell</t>
  </si>
  <si>
    <t>Misal</t>
  </si>
  <si>
    <t>Art museum Hadashi</t>
  </si>
  <si>
    <t>Sai tea Bhaji</t>
  </si>
  <si>
    <t>Flipkart night dress</t>
  </si>
  <si>
    <t>Dosa</t>
  </si>
  <si>
    <t>Pulao</t>
  </si>
  <si>
    <t>Masala Dudh</t>
  </si>
  <si>
    <t>Dudh etc</t>
  </si>
  <si>
    <t xml:space="preserve">parking </t>
  </si>
  <si>
    <t>Etc</t>
  </si>
  <si>
    <t xml:space="preserve">Flipkart Groceries </t>
  </si>
  <si>
    <t>Dudh bhiskit lnl</t>
  </si>
  <si>
    <t>Zepto Dudh Dahi Pani Potatoes</t>
  </si>
  <si>
    <t xml:space="preserve">SUM of Expense Amount </t>
  </si>
  <si>
    <t>Mahi Total</t>
  </si>
  <si>
    <t>Shri Total</t>
  </si>
  <si>
    <t>Grand Total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</si>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</sst>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₹]#,##0.00"/>
  </numFmts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rgb="FF75111D"/>
      <name val="Arial"/>
      <scheme val="minor"/>
    </font>
    <font>
      <b/>
      <sz val="10"/>
      <color rgb="FF75111D"/>
      <name val="Arial"/>
      <scheme val="minor"/>
    </font>
    <font>
      <sz val="10"/>
      <color theme="1"/>
      <name val="Arial"/>
      <scheme val="minor"/>
    </font>
    <font>
      <b/>
      <sz val="10"/>
      <color theme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hair">
        <color rgb="FFDD7E6B"/>
      </left>
      <right style="hair">
        <color rgb="FFDD7E6B"/>
      </right>
      <top style="hair">
        <color rgb="FFDD7E6B"/>
      </top>
      <bottom style="hair">
        <color rgb="FFDD7E6B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hair">
        <color rgb="FFDD7E6B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vertical="center"/>
    </xf>
    <xf numFmtId="14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" xfId="0" pivotButton="1" applyFont="1" applyBorder="1" applyAlignment="1"/>
    <xf numFmtId="0" fontId="0" fillId="0" borderId="3" xfId="0" applyFont="1" applyBorder="1" applyAlignment="1"/>
    <xf numFmtId="0" fontId="0" fillId="0" borderId="2" xfId="0" applyFont="1" applyBorder="1" applyAlignment="1"/>
    <xf numFmtId="0" fontId="0" fillId="0" borderId="3" xfId="0" applyNumberFormat="1" applyFont="1" applyBorder="1" applyAlignment="1"/>
    <xf numFmtId="0" fontId="0" fillId="0" borderId="4" xfId="0" applyFont="1" applyBorder="1" applyAlignment="1"/>
    <xf numFmtId="0" fontId="0" fillId="0" borderId="5" xfId="0" applyFont="1" applyBorder="1" applyAlignment="1"/>
    <xf numFmtId="0" fontId="0" fillId="0" borderId="6" xfId="0" applyNumberFormat="1" applyFont="1" applyBorder="1" applyAlignment="1"/>
    <xf numFmtId="0" fontId="0" fillId="0" borderId="7" xfId="0" applyFont="1" applyBorder="1" applyAlignment="1"/>
    <xf numFmtId="0" fontId="0" fillId="0" borderId="8" xfId="0" applyFont="1" applyBorder="1" applyAlignment="1"/>
    <xf numFmtId="0" fontId="0" fillId="0" borderId="9" xfId="0" applyFont="1" applyBorder="1" applyAlignment="1"/>
    <xf numFmtId="0" fontId="0" fillId="0" borderId="10" xfId="0" applyNumberFormat="1" applyFont="1" applyBorder="1" applyAlignment="1"/>
    <xf numFmtId="0" fontId="5" fillId="0" borderId="0" xfId="0" applyFont="1" applyAlignment="1">
      <alignment horizontal="center" vertical="center"/>
    </xf>
    <xf numFmtId="14" fontId="0" fillId="0" borderId="0" xfId="0" applyNumberFormat="1" applyFont="1" applyAlignment="1"/>
    <xf numFmtId="0" fontId="0" fillId="0" borderId="11" xfId="0" applyFont="1" applyBorder="1" applyAlignment="1"/>
  </cellXfs>
  <cellStyles count="1">
    <cellStyle name="Normal" xfId="0" builtinId="0"/>
  </cellStyles>
  <dxfs count="21">
    <dxf>
      <fill>
        <patternFill patternType="solid">
          <fgColor rgb="FFB7E1CD"/>
          <bgColor rgb="FFB7E1CD"/>
        </patternFill>
      </fill>
    </dxf>
    <dxf>
      <border outline="0">
        <left style="hair">
          <color rgb="FFDD7E6B"/>
        </left>
      </border>
    </dxf>
    <dxf>
      <numFmt numFmtId="19" formatCode="m/d/yyyy"/>
    </dxf>
    <dxf>
      <border outline="0">
        <right style="hair">
          <color rgb="FFDD7E6B"/>
        </right>
      </border>
    </dxf>
    <dxf>
      <font>
        <strike val="0"/>
        <outline val="0"/>
        <shadow val="0"/>
        <u val="none"/>
        <vertAlign val="baseline"/>
        <sz val="10"/>
        <color theme="0"/>
        <name val="Arial"/>
        <scheme val="minor"/>
      </font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theme="1"/>
          <bgColor theme="1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theme="1"/>
          <bgColor theme="1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theme="1"/>
          <bgColor theme="1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theme="1"/>
          <bgColor theme="1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4">
    <tableStyle name="AUG 2025-style" pivot="0" count="4">
      <tableStyleElement type="wholeTable" size="0" dxfId="20"/>
      <tableStyleElement type="headerRow" dxfId="19"/>
      <tableStyleElement type="firstRowStripe" dxfId="18"/>
      <tableStyleElement type="secondRowStripe" dxfId="17"/>
    </tableStyle>
    <tableStyle name="SEP 2025-style" pivot="0" count="4">
      <tableStyleElement type="wholeTable" size="0" dxfId="16"/>
      <tableStyleElement type="headerRow" dxfId="15"/>
      <tableStyleElement type="firstRowStripe" dxfId="14"/>
      <tableStyleElement type="secondRowStripe" dxfId="13"/>
    </tableStyle>
    <tableStyle name="OCT 2025-style" pivot="0" count="4">
      <tableStyleElement type="wholeTable" size="0" dxfId="12"/>
      <tableStyleElement type="headerRow" dxfId="11"/>
      <tableStyleElement type="firstRowStripe" dxfId="10"/>
      <tableStyleElement type="secondRowStripe" dxfId="9"/>
    </tableStyle>
    <tableStyle name="NOV 2025-style" pivot="0" count="4">
      <tableStyleElement type="wholeTable" size="0" dxfId="8"/>
      <tableStyleElement type="headerRow" dxfId="7"/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10/relationships/person" Target="persons/perso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19</xdr:row>
      <xdr:rowOff>0</xdr:rowOff>
    </xdr:from>
    <xdr:ext cx="5715000" cy="3533775"/>
    <xdr:pic>
      <xdr:nvPicPr>
        <xdr:cNvPr id="1146132147" name="Chart1" title="Count of Expenses Category ">
          <a:extLs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mahesh borse" refreshedDate="46019.461723379631" refreshedVersion="6" recordCount="100">
  <cacheSource type="worksheet">
    <worksheetSource ref="A1:H101" sheet="AUG 2025"/>
  </cacheSource>
  <cacheFields count="8">
    <cacheField name="Sr no" numFmtId="0">
      <sharedItems containsSemiMixedTypes="0" containsString="0" containsNumber="1" containsInteger="1" minValue="1" maxValue="100"/>
    </cacheField>
    <cacheField name="Date" numFmtId="0">
      <sharedItems containsDate="1" containsMixedTypes="1" minDate="2025-01-08T00:00:00" maxDate="2025-12-09T00:00:00"/>
    </cacheField>
    <cacheField name="Person " numFmtId="0">
      <sharedItems count="2">
        <s v="Mahi"/>
        <s v="Shri"/>
      </sharedItems>
    </cacheField>
    <cacheField name="Expenses Category " numFmtId="0">
      <sharedItems containsBlank="1" count="11">
        <s v="Outside Food"/>
        <s v="Groceries"/>
        <s v="Other"/>
        <s v="Fule"/>
        <s v="Transportation"/>
        <s v="Online Shopping"/>
        <s v="Food"/>
        <s v="Dining Out"/>
        <m/>
        <s v="Internet"/>
        <s v="Rent"/>
      </sharedItems>
    </cacheField>
    <cacheField name="Mode of Payment " numFmtId="0">
      <sharedItems/>
    </cacheField>
    <cacheField name="Expense Amount " numFmtId="164">
      <sharedItems containsSemiMixedTypes="0" containsString="0" containsNumber="1" minValue="10" maxValue="18000"/>
    </cacheField>
    <cacheField name="Notes " numFmtId="0">
      <sharedItems containsBlank="1"/>
    </cacheField>
    <cacheField name="TOTAL" numFmtId="0">
      <sharedItems containsString="0" containsBlank="1" containsNumber="1" minValue="35880.5" maxValue="35880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n v="1"/>
    <d v="2025-01-08T00:00:00"/>
    <x v="0"/>
    <x v="0"/>
    <s v="UPI"/>
    <n v="47"/>
    <m/>
    <n v="35880.5"/>
  </r>
  <r>
    <n v="2"/>
    <d v="2025-01-08T00:00:00"/>
    <x v="0"/>
    <x v="1"/>
    <s v="UPI"/>
    <n v="87"/>
    <m/>
    <m/>
  </r>
  <r>
    <n v="3"/>
    <d v="2025-01-08T00:00:00"/>
    <x v="0"/>
    <x v="0"/>
    <s v="UPI"/>
    <n v="80"/>
    <s v="Panipuri"/>
    <m/>
  </r>
  <r>
    <n v="4"/>
    <d v="2025-01-08T00:00:00"/>
    <x v="0"/>
    <x v="0"/>
    <s v="UPI"/>
    <n v="130"/>
    <s v="Pizatoons"/>
    <m/>
  </r>
  <r>
    <n v="5"/>
    <d v="2025-01-08T00:00:00"/>
    <x v="0"/>
    <x v="2"/>
    <s v="UPI"/>
    <n v="100"/>
    <s v="Frame"/>
    <m/>
  </r>
  <r>
    <n v="6"/>
    <d v="2025-01-08T00:00:00"/>
    <x v="0"/>
    <x v="0"/>
    <s v="UPI"/>
    <n v="20"/>
    <s v="Masala Dhudh"/>
    <m/>
  </r>
  <r>
    <n v="7"/>
    <d v="2025-02-08T00:00:00"/>
    <x v="0"/>
    <x v="3"/>
    <s v="UPI"/>
    <n v="520"/>
    <s v="Petrol"/>
    <m/>
  </r>
  <r>
    <n v="8"/>
    <d v="2025-02-08T00:00:00"/>
    <x v="0"/>
    <x v="2"/>
    <s v="UPI"/>
    <n v="20"/>
    <m/>
    <m/>
  </r>
  <r>
    <n v="9"/>
    <d v="2025-03-08T00:00:00"/>
    <x v="0"/>
    <x v="2"/>
    <s v="UPI"/>
    <n v="80"/>
    <m/>
    <m/>
  </r>
  <r>
    <n v="10"/>
    <d v="2025-03-08T00:00:00"/>
    <x v="0"/>
    <x v="1"/>
    <s v="UPI"/>
    <n v="67"/>
    <m/>
    <m/>
  </r>
  <r>
    <n v="11"/>
    <d v="2025-04-08T00:00:00"/>
    <x v="0"/>
    <x v="4"/>
    <s v="UPI"/>
    <n v="20"/>
    <s v="Parking"/>
    <m/>
  </r>
  <r>
    <n v="12"/>
    <d v="2025-04-08T00:00:00"/>
    <x v="0"/>
    <x v="1"/>
    <s v="UPI"/>
    <n v="57"/>
    <m/>
    <m/>
  </r>
  <r>
    <n v="13"/>
    <d v="2025-05-08T00:00:00"/>
    <x v="0"/>
    <x v="5"/>
    <s v="UPI"/>
    <n v="237"/>
    <s v="Flipkart Sfty Gloves"/>
    <m/>
  </r>
  <r>
    <n v="14"/>
    <d v="2025-06-08T00:00:00"/>
    <x v="0"/>
    <x v="4"/>
    <s v="UPI"/>
    <n v="20"/>
    <s v="Parking"/>
    <m/>
  </r>
  <r>
    <n v="15"/>
    <d v="2025-06-08T00:00:00"/>
    <x v="0"/>
    <x v="3"/>
    <s v="UPI"/>
    <n v="100"/>
    <s v="Mandar Bike Petrol"/>
    <m/>
  </r>
  <r>
    <n v="16"/>
    <d v="2025-06-08T00:00:00"/>
    <x v="0"/>
    <x v="1"/>
    <s v="UPI"/>
    <n v="37"/>
    <m/>
    <m/>
  </r>
  <r>
    <n v="17"/>
    <d v="2025-07-08T00:00:00"/>
    <x v="0"/>
    <x v="4"/>
    <s v="UPI"/>
    <n v="20"/>
    <s v="Parking"/>
    <m/>
  </r>
  <r>
    <n v="18"/>
    <d v="2025-07-08T00:00:00"/>
    <x v="0"/>
    <x v="1"/>
    <s v="UPI"/>
    <n v="37"/>
    <m/>
    <m/>
  </r>
  <r>
    <n v="19"/>
    <d v="2025-07-08T00:00:00"/>
    <x v="0"/>
    <x v="0"/>
    <s v="UPI"/>
    <n v="110"/>
    <s v="Panipuri"/>
    <m/>
  </r>
  <r>
    <n v="20"/>
    <d v="2025-08-08T00:00:00"/>
    <x v="0"/>
    <x v="4"/>
    <s v="UPI"/>
    <n v="20"/>
    <s v="Parking"/>
    <m/>
  </r>
  <r>
    <n v="21"/>
    <d v="2025-08-08T00:00:00"/>
    <x v="0"/>
    <x v="1"/>
    <s v="UPI"/>
    <n v="57"/>
    <m/>
    <m/>
  </r>
  <r>
    <n v="22"/>
    <d v="2025-08-08T00:00:00"/>
    <x v="0"/>
    <x v="6"/>
    <s v="UPI"/>
    <n v="315"/>
    <s v="Kisan"/>
    <m/>
  </r>
  <r>
    <n v="23"/>
    <d v="2025-09-08T00:00:00"/>
    <x v="0"/>
    <x v="4"/>
    <s v="UPI"/>
    <n v="20"/>
    <s v="Parking"/>
    <m/>
  </r>
  <r>
    <n v="24"/>
    <d v="2025-09-08T00:00:00"/>
    <x v="0"/>
    <x v="1"/>
    <s v="UPI"/>
    <n v="334"/>
    <s v="Dudh Bhiskit, kaju Badam "/>
    <m/>
  </r>
  <r>
    <n v="25"/>
    <d v="2025-09-08T00:00:00"/>
    <x v="0"/>
    <x v="6"/>
    <s v="UPI"/>
    <n v="60"/>
    <s v="Mataki"/>
    <m/>
  </r>
  <r>
    <n v="26"/>
    <d v="2025-09-08T00:00:00"/>
    <x v="0"/>
    <x v="2"/>
    <s v="UPI"/>
    <n v="20"/>
    <s v="Ful"/>
    <m/>
  </r>
  <r>
    <n v="27"/>
    <d v="2025-10-08T00:00:00"/>
    <x v="0"/>
    <x v="1"/>
    <s v="UPI"/>
    <n v="621.5"/>
    <s v="Dmart"/>
    <m/>
  </r>
  <r>
    <n v="28"/>
    <d v="2025-10-08T00:00:00"/>
    <x v="0"/>
    <x v="0"/>
    <s v="UPI"/>
    <n v="80"/>
    <s v="Nashta Purohit"/>
    <m/>
  </r>
  <r>
    <n v="29"/>
    <d v="2025-11-08T00:00:00"/>
    <x v="0"/>
    <x v="4"/>
    <s v="UPI"/>
    <n v="20"/>
    <s v="Parking"/>
    <m/>
  </r>
  <r>
    <n v="30"/>
    <d v="2025-11-08T00:00:00"/>
    <x v="0"/>
    <x v="1"/>
    <s v="UPI"/>
    <n v="106"/>
    <s v="Dmart"/>
    <m/>
  </r>
  <r>
    <n v="31"/>
    <d v="2025-11-08T00:00:00"/>
    <x v="0"/>
    <x v="7"/>
    <s v="UPI"/>
    <n v="30"/>
    <s v="Dining out booking Swigi"/>
    <m/>
  </r>
  <r>
    <n v="32"/>
    <d v="2025-12-08T00:00:00"/>
    <x v="0"/>
    <x v="1"/>
    <s v="UPI"/>
    <n v="37"/>
    <m/>
    <m/>
  </r>
  <r>
    <n v="33"/>
    <d v="2025-12-08T00:00:00"/>
    <x v="0"/>
    <x v="4"/>
    <s v="UPI"/>
    <n v="20"/>
    <s v="Parking"/>
    <m/>
  </r>
  <r>
    <n v="34"/>
    <d v="2025-12-08T00:00:00"/>
    <x v="1"/>
    <x v="7"/>
    <s v="UPI"/>
    <n v="50"/>
    <s v="Tip"/>
    <m/>
  </r>
  <r>
    <n v="35"/>
    <d v="2025-12-08T00:00:00"/>
    <x v="1"/>
    <x v="4"/>
    <s v="UPI"/>
    <n v="209"/>
    <s v="Cab"/>
    <m/>
  </r>
  <r>
    <n v="36"/>
    <d v="2025-12-08T00:00:00"/>
    <x v="1"/>
    <x v="3"/>
    <s v="UPI"/>
    <n v="520"/>
    <s v="Petrol "/>
    <m/>
  </r>
  <r>
    <n v="37"/>
    <d v="2025-12-08T00:00:00"/>
    <x v="1"/>
    <x v="7"/>
    <s v="UPI"/>
    <n v="990"/>
    <s v="H1 Lounge "/>
    <m/>
  </r>
  <r>
    <n v="38"/>
    <d v="2025-12-08T00:00:00"/>
    <x v="1"/>
    <x v="2"/>
    <s v="UPI"/>
    <n v="370"/>
    <s v="Cake"/>
    <m/>
  </r>
  <r>
    <n v="39"/>
    <s v="13/8/2025"/>
    <x v="1"/>
    <x v="8"/>
    <s v="UPI"/>
    <n v="50"/>
    <m/>
    <m/>
  </r>
  <r>
    <n v="40"/>
    <s v="13/8/2025"/>
    <x v="1"/>
    <x v="8"/>
    <s v="UPI"/>
    <n v="150"/>
    <m/>
    <m/>
  </r>
  <r>
    <n v="41"/>
    <s v="15/8/2025"/>
    <x v="0"/>
    <x v="6"/>
    <s v="UPI"/>
    <n v="289"/>
    <s v="Kisan"/>
    <m/>
  </r>
  <r>
    <n v="42"/>
    <s v="15/8/2025"/>
    <x v="0"/>
    <x v="2"/>
    <s v="UPI"/>
    <n v="20"/>
    <s v="Ful"/>
    <m/>
  </r>
  <r>
    <n v="43"/>
    <s v="15/8/2025"/>
    <x v="0"/>
    <x v="1"/>
    <s v="UPI"/>
    <n v="30"/>
    <s v="Shampoo sachet "/>
    <m/>
  </r>
  <r>
    <n v="44"/>
    <s v="16/8/2025"/>
    <x v="0"/>
    <x v="1"/>
    <s v="UPI"/>
    <n v="47"/>
    <m/>
    <m/>
  </r>
  <r>
    <n v="45"/>
    <s v="16/8/2025"/>
    <x v="0"/>
    <x v="4"/>
    <s v="UPI"/>
    <n v="20"/>
    <s v="Parking"/>
    <m/>
  </r>
  <r>
    <n v="46"/>
    <s v="16/8/2025"/>
    <x v="0"/>
    <x v="0"/>
    <s v="UPI"/>
    <n v="100"/>
    <s v="Veg Biryani "/>
    <m/>
  </r>
  <r>
    <n v="47"/>
    <s v="16/8/2025"/>
    <x v="0"/>
    <x v="0"/>
    <s v="UPI"/>
    <n v="99"/>
    <s v="Burger "/>
    <m/>
  </r>
  <r>
    <n v="48"/>
    <s v="16/8/2025"/>
    <x v="0"/>
    <x v="0"/>
    <s v="UPI"/>
    <n v="100"/>
    <s v="Liti Chokha"/>
    <m/>
  </r>
  <r>
    <n v="49"/>
    <s v="16/8/2025"/>
    <x v="0"/>
    <x v="0"/>
    <s v="UPI"/>
    <n v="110"/>
    <s v="Paratha pani bottle"/>
    <m/>
  </r>
  <r>
    <n v="50"/>
    <s v="16/8/2025"/>
    <x v="0"/>
    <x v="0"/>
    <s v="UPI"/>
    <n v="30"/>
    <s v="Irani Chaha"/>
    <m/>
  </r>
  <r>
    <n v="51"/>
    <s v="16/8/2025"/>
    <x v="0"/>
    <x v="0"/>
    <s v="UPI"/>
    <n v="342"/>
    <s v="Dinner "/>
    <m/>
  </r>
  <r>
    <n v="52"/>
    <s v="16/8/2025"/>
    <x v="0"/>
    <x v="0"/>
    <s v="UPI"/>
    <n v="50"/>
    <s v="Masala dudh "/>
    <m/>
  </r>
  <r>
    <n v="53"/>
    <s v="16/8/2025"/>
    <x v="0"/>
    <x v="9"/>
    <s v="UPI"/>
    <n v="370"/>
    <s v="Airtel fiber Bill"/>
    <m/>
  </r>
  <r>
    <n v="54"/>
    <s v="17/8/2025"/>
    <x v="0"/>
    <x v="10"/>
    <s v="UPI"/>
    <n v="18000"/>
    <s v="Flat Rent"/>
    <m/>
  </r>
  <r>
    <n v="55"/>
    <s v="17/8/2025"/>
    <x v="0"/>
    <x v="2"/>
    <s v="UPI"/>
    <n v="1000"/>
    <s v="Ganpati Murti Advance"/>
    <m/>
  </r>
  <r>
    <n v="56"/>
    <s v="17/8/2025"/>
    <x v="0"/>
    <x v="1"/>
    <s v="UPI"/>
    <n v="67"/>
    <s v="Dudh Soda dalchini"/>
    <m/>
  </r>
  <r>
    <n v="57"/>
    <s v="17/8/2025"/>
    <x v="0"/>
    <x v="6"/>
    <s v="UPI"/>
    <n v="60"/>
    <s v="Banana "/>
    <m/>
  </r>
  <r>
    <n v="58"/>
    <s v="17/8/2025"/>
    <x v="0"/>
    <x v="0"/>
    <s v="UPI"/>
    <n v="24"/>
    <s v="Chaha"/>
    <m/>
  </r>
  <r>
    <n v="59"/>
    <s v="17/8/2025"/>
    <x v="0"/>
    <x v="0"/>
    <s v="UPI"/>
    <n v="60"/>
    <s v="Ragada pimpri mkt"/>
    <m/>
  </r>
  <r>
    <n v="60"/>
    <s v="18/8/2025"/>
    <x v="0"/>
    <x v="6"/>
    <s v="UPI"/>
    <n v="30"/>
    <s v="Chane"/>
    <m/>
  </r>
  <r>
    <n v="61"/>
    <s v="18/8/2025"/>
    <x v="0"/>
    <x v="1"/>
    <s v="UPI"/>
    <n v="36"/>
    <s v="Dudh"/>
    <m/>
  </r>
  <r>
    <n v="62"/>
    <s v="19/8/2025"/>
    <x v="0"/>
    <x v="1"/>
    <s v="UPI"/>
    <n v="37"/>
    <m/>
    <m/>
  </r>
  <r>
    <n v="63"/>
    <s v="19/8/2025"/>
    <x v="0"/>
    <x v="4"/>
    <s v="UPI"/>
    <n v="20"/>
    <s v="Parking"/>
    <m/>
  </r>
  <r>
    <n v="64"/>
    <s v="19/8/2025"/>
    <x v="0"/>
    <x v="8"/>
    <s v="UPI"/>
    <n v="50"/>
    <m/>
    <m/>
  </r>
  <r>
    <n v="65"/>
    <s v="19/8/2025"/>
    <x v="0"/>
    <x v="8"/>
    <s v="UPI"/>
    <n v="20"/>
    <m/>
    <m/>
  </r>
  <r>
    <n v="66"/>
    <s v="19/8/2025"/>
    <x v="0"/>
    <x v="8"/>
    <s v="UPI"/>
    <n v="20"/>
    <m/>
    <m/>
  </r>
  <r>
    <n v="67"/>
    <s v="20/8/2025"/>
    <x v="0"/>
    <x v="1"/>
    <s v="UPI"/>
    <n v="87"/>
    <s v="Dhudh + Maska pav rajpurohit"/>
    <m/>
  </r>
  <r>
    <n v="68"/>
    <s v="20/8/2025"/>
    <x v="0"/>
    <x v="4"/>
    <s v="UPI"/>
    <n v="20"/>
    <s v="Parking"/>
    <m/>
  </r>
  <r>
    <n v="69"/>
    <s v="21/8/2025"/>
    <x v="0"/>
    <x v="0"/>
    <s v="UPI"/>
    <n v="55"/>
    <s v="Maggie office "/>
    <m/>
  </r>
  <r>
    <n v="70"/>
    <s v="21/8/2025"/>
    <x v="0"/>
    <x v="0"/>
    <s v="UPI"/>
    <n v="90"/>
    <s v="Jalebi office "/>
    <m/>
  </r>
  <r>
    <n v="71"/>
    <s v="21/8/2025"/>
    <x v="0"/>
    <x v="6"/>
    <s v="UPI"/>
    <n v="20"/>
    <s v="Bhaji office "/>
    <m/>
  </r>
  <r>
    <n v="72"/>
    <s v="21/8/2025"/>
    <x v="0"/>
    <x v="4"/>
    <s v="UPI"/>
    <n v="20"/>
    <s v="Parking "/>
    <m/>
  </r>
  <r>
    <n v="73"/>
    <s v="21/8/2025"/>
    <x v="0"/>
    <x v="6"/>
    <s v="UPI"/>
    <n v="50"/>
    <s v="Banana "/>
    <m/>
  </r>
  <r>
    <n v="74"/>
    <s v="21/8/2025"/>
    <x v="0"/>
    <x v="6"/>
    <s v="UPI"/>
    <n v="15"/>
    <s v="Tak"/>
    <m/>
  </r>
  <r>
    <n v="75"/>
    <s v="21/8/2025"/>
    <x v="0"/>
    <x v="2"/>
    <s v="UPI"/>
    <n v="80"/>
    <s v="Bail"/>
    <m/>
  </r>
  <r>
    <n v="76"/>
    <s v="21/8/2025"/>
    <x v="1"/>
    <x v="2"/>
    <s v="UPI"/>
    <n v="1500"/>
    <s v="Sollana ganpati vargani"/>
    <m/>
  </r>
  <r>
    <n v="77"/>
    <s v="22/8/2025"/>
    <x v="0"/>
    <x v="5"/>
    <s v="UPI"/>
    <n v="238"/>
    <s v="Glue gun flipkart "/>
    <m/>
  </r>
  <r>
    <n v="78"/>
    <s v="22/8/2025"/>
    <x v="0"/>
    <x v="4"/>
    <s v="UPI"/>
    <n v="20"/>
    <s v="Parking "/>
    <m/>
  </r>
  <r>
    <n v="79"/>
    <s v="23/8/2025"/>
    <x v="0"/>
    <x v="0"/>
    <s v="UPI"/>
    <n v="200"/>
    <s v="Tarun Nashta"/>
    <m/>
  </r>
  <r>
    <n v="80"/>
    <s v="23/8/2025"/>
    <x v="0"/>
    <x v="1"/>
    <s v="UPI"/>
    <n v="37"/>
    <s v="Dudh"/>
    <m/>
  </r>
  <r>
    <n v="81"/>
    <s v="23/8/2025"/>
    <x v="0"/>
    <x v="0"/>
    <s v="UPI"/>
    <n v="60"/>
    <s v="Dosa fab"/>
    <m/>
  </r>
  <r>
    <n v="82"/>
    <s v="23/8/2025"/>
    <x v="0"/>
    <x v="0"/>
    <s v="UPI"/>
    <n v="130"/>
    <s v="Bharit poli fab"/>
    <m/>
  </r>
  <r>
    <n v="83"/>
    <s v="23/8/2025"/>
    <x v="0"/>
    <x v="0"/>
    <s v="UPI"/>
    <n v="80"/>
    <s v="Chocolate shake "/>
    <m/>
  </r>
  <r>
    <n v="84"/>
    <s v="24/8/2025"/>
    <x v="0"/>
    <x v="2"/>
    <s v="UPI"/>
    <n v="83"/>
    <s v="Stationary ganpati deco"/>
    <m/>
  </r>
  <r>
    <n v="85"/>
    <s v="24/8/2025"/>
    <x v="0"/>
    <x v="8"/>
    <s v="UPI"/>
    <n v="80"/>
    <m/>
    <m/>
  </r>
  <r>
    <n v="86"/>
    <s v="24/8/2025"/>
    <x v="0"/>
    <x v="2"/>
    <s v="UPI"/>
    <n v="160"/>
    <s v="Ganpati decoration"/>
    <m/>
  </r>
  <r>
    <n v="87"/>
    <s v="24/8/2025"/>
    <x v="0"/>
    <x v="2"/>
    <s v="UPI"/>
    <n v="40"/>
    <s v="Ganpati decoration"/>
    <m/>
  </r>
  <r>
    <n v="88"/>
    <s v="24/8/2025"/>
    <x v="0"/>
    <x v="0"/>
    <s v="UPI"/>
    <n v="40"/>
    <s v="Chatpqti"/>
    <m/>
  </r>
  <r>
    <n v="89"/>
    <s v="24/8/2025"/>
    <x v="0"/>
    <x v="2"/>
    <s v="UPI"/>
    <n v="240"/>
    <s v="Ganpati decoration"/>
    <m/>
  </r>
  <r>
    <n v="90"/>
    <s v="24/8/2025"/>
    <x v="0"/>
    <x v="2"/>
    <s v="UPI"/>
    <n v="30"/>
    <s v="Ganpati decoration"/>
    <m/>
  </r>
  <r>
    <n v="91"/>
    <s v="24/8/2025"/>
    <x v="0"/>
    <x v="2"/>
    <s v="Cash"/>
    <n v="50"/>
    <s v="Ganpati decoration"/>
    <m/>
  </r>
  <r>
    <n v="92"/>
    <s v="26/8/2025"/>
    <x v="0"/>
    <x v="8"/>
    <s v="UPI"/>
    <n v="18"/>
    <m/>
    <m/>
  </r>
  <r>
    <n v="93"/>
    <s v="26/8/2025"/>
    <x v="0"/>
    <x v="8"/>
    <s v="UPI"/>
    <n v="50"/>
    <m/>
    <m/>
  </r>
  <r>
    <n v="94"/>
    <s v="26/8/2025"/>
    <x v="0"/>
    <x v="8"/>
    <s v="UPI"/>
    <n v="150"/>
    <m/>
    <m/>
  </r>
  <r>
    <n v="95"/>
    <s v="26/8/2025"/>
    <x v="0"/>
    <x v="8"/>
    <s v="UPI"/>
    <n v="170"/>
    <m/>
    <m/>
  </r>
  <r>
    <n v="96"/>
    <s v="26/8/2025"/>
    <x v="0"/>
    <x v="8"/>
    <s v="UPI"/>
    <n v="20"/>
    <m/>
    <m/>
  </r>
  <r>
    <n v="97"/>
    <s v="26/8/2025"/>
    <x v="0"/>
    <x v="8"/>
    <s v="UPI"/>
    <n v="30"/>
    <m/>
    <m/>
  </r>
  <r>
    <n v="98"/>
    <s v="27/8/2025"/>
    <x v="0"/>
    <x v="1"/>
    <s v="UPI"/>
    <n v="37"/>
    <m/>
    <m/>
  </r>
  <r>
    <n v="99"/>
    <s v="27/8/2025"/>
    <x v="0"/>
    <x v="1"/>
    <s v="UPI"/>
    <n v="80"/>
    <m/>
    <m/>
  </r>
  <r>
    <n v="100"/>
    <s v="27/8/2025"/>
    <x v="0"/>
    <x v="6"/>
    <s v="UPI"/>
    <n v="1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4" applyNumberFormats="0" applyBorderFormats="0" applyFontFormats="0" applyPatternFormats="0" applyAlignmentFormats="0" applyWidthHeightFormats="0" dataCaption="" updatedVersion="6" compact="0" compactData="0">
  <location ref="A1:C20" firstHeaderRow="1" firstDataRow="1" firstDataCol="2"/>
  <pivotFields count="8">
    <pivotField name="Sr no" compact="0" outline="0" multipleItemSelectionAllowed="1" showAll="0"/>
    <pivotField name="Date" compact="0" outline="0" multipleItemSelectionAllowed="1" showAll="0"/>
    <pivotField name="Person " axis="axisRow" compact="0" outline="0" multipleItemSelectionAllowed="1" showAll="0" sortType="ascending">
      <items count="3">
        <item x="0"/>
        <item x="1"/>
        <item t="default"/>
      </items>
    </pivotField>
    <pivotField name="Expenses Category " axis="axisRow" compact="0" outline="0" multipleItemSelectionAllowed="1" showAll="0" sortType="ascending">
      <items count="12">
        <item x="7"/>
        <item x="6"/>
        <item x="3"/>
        <item x="1"/>
        <item x="9"/>
        <item x="5"/>
        <item x="2"/>
        <item x="0"/>
        <item x="10"/>
        <item x="4"/>
        <item x="8"/>
        <item t="default"/>
      </items>
    </pivotField>
    <pivotField name="Mode of Payment " compact="0" outline="0" multipleItemSelectionAllowed="1" showAll="0"/>
    <pivotField name="Expense Amount " dataField="1" compact="0" numFmtId="164" outline="0" multipleItemSelectionAllowed="1" showAll="0"/>
    <pivotField name="Notes " compact="0" outline="0" multipleItemSelectionAllowed="1" showAll="0"/>
    <pivotField name="TOTAL" compact="0" numFmtId="164" outline="0" multipleItemSelectionAllowed="1" showAll="0"/>
  </pivotFields>
  <rowFields count="2">
    <field x="2"/>
    <field x="3"/>
  </rowFields>
  <rowItems count="19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default">
      <x/>
    </i>
    <i>
      <x v="1"/>
      <x/>
    </i>
    <i r="1">
      <x v="2"/>
    </i>
    <i r="1">
      <x v="6"/>
    </i>
    <i r="1">
      <x v="9"/>
    </i>
    <i r="1">
      <x v="10"/>
    </i>
    <i t="default">
      <x v="1"/>
    </i>
    <i t="grand">
      <x/>
    </i>
  </rowItems>
  <colItems count="1">
    <i/>
  </colItems>
  <dataFields count="1">
    <dataField name="SUM of Expense Amount " fld="5" baseField="0"/>
  </dataFields>
  <pivotTableStyleInfo showRowHeaders="1" showColHeaders="1" showRowStripes="0" showColStripes="0" showLastColumn="1"/>
</pivotTableDefinition>
</file>

<file path=xl/tables/table1.xml><?xml version="1.0" encoding="utf-8"?>
<table xmlns="http://schemas.openxmlformats.org/spreadsheetml/2006/main" id="4" name="AUG_2025_4" displayName="AUG_2025_4" ref="A1:H101" headerRowDxfId="4">
  <tableColumns count="8">
    <tableColumn id="1" name="Sr no" dataDxfId="3"/>
    <tableColumn id="2" name="Date" dataDxfId="2"/>
    <tableColumn id="3" name="Person " dataDxfId="1"/>
    <tableColumn id="4" name="Expenses Category "/>
    <tableColumn id="5" name="Mode of Payment "/>
    <tableColumn id="6" name="Expense Amount "/>
    <tableColumn id="7" name="Notes "/>
    <tableColumn id="8" name="TOTAL"/>
  </tableColumns>
  <tableStyleInfo name="NOV 2025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980000"/>
      </a:dk1>
      <a:lt1>
        <a:srgbClr val="FFFFFF"/>
      </a:lt1>
      <a:dk2>
        <a:srgbClr val="98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2"/>
  <sheetViews>
    <sheetView tabSelected="1" workbookViewId="0">
      <pane ySplit="1" topLeftCell="A2" activePane="bottomLeft" state="frozen"/>
      <selection pane="bottomLeft" activeCell="J29" sqref="J29"/>
    </sheetView>
  </sheetViews>
  <sheetFormatPr defaultColWidth="12.5703125" defaultRowHeight="15.75" customHeight="1" x14ac:dyDescent="0.2"/>
  <cols>
    <col min="1" max="1" width="9.28515625" customWidth="1"/>
    <col min="2" max="2" width="12.28515625" customWidth="1"/>
    <col min="3" max="3" width="14.42578125" customWidth="1"/>
    <col min="4" max="4" width="23.42578125" customWidth="1"/>
    <col min="5" max="5" width="19.140625" customWidth="1"/>
    <col min="6" max="6" width="21.7109375" customWidth="1"/>
    <col min="7" max="7" width="27.5703125" bestFit="1" customWidth="1"/>
  </cols>
  <sheetData>
    <row r="1" spans="1:26" ht="22.5" customHeight="1" x14ac:dyDescent="0.2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2.5" customHeight="1" x14ac:dyDescent="0.2">
      <c r="A2" s="2">
        <v>1</v>
      </c>
      <c r="B2" s="11">
        <v>45962</v>
      </c>
      <c r="C2" s="3" t="s">
        <v>8</v>
      </c>
      <c r="D2" s="3" t="s">
        <v>14</v>
      </c>
      <c r="E2" s="4" t="s">
        <v>10</v>
      </c>
      <c r="F2" s="5">
        <v>20</v>
      </c>
      <c r="G2" s="4" t="s">
        <v>23</v>
      </c>
      <c r="H2" s="7">
        <f>SUM(F2:F101)</f>
        <v>23030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22.5" customHeight="1" x14ac:dyDescent="0.2">
      <c r="A3" s="2">
        <v>2</v>
      </c>
      <c r="B3" s="11"/>
      <c r="C3" s="3" t="s">
        <v>8</v>
      </c>
      <c r="D3" s="3" t="s">
        <v>24</v>
      </c>
      <c r="E3" s="4" t="s">
        <v>10</v>
      </c>
      <c r="F3" s="5">
        <v>700</v>
      </c>
      <c r="G3" s="4" t="s">
        <v>25</v>
      </c>
      <c r="H3" s="6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22.5" customHeight="1" x14ac:dyDescent="0.2">
      <c r="A4" s="2">
        <v>3</v>
      </c>
      <c r="B4" s="11"/>
      <c r="C4" s="3"/>
      <c r="D4" s="3" t="s">
        <v>24</v>
      </c>
      <c r="E4" s="4" t="s">
        <v>10</v>
      </c>
      <c r="F4" s="5">
        <v>688</v>
      </c>
      <c r="G4" s="4" t="s">
        <v>26</v>
      </c>
      <c r="H4" s="6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22.5" customHeight="1" x14ac:dyDescent="0.2">
      <c r="A5" s="2">
        <v>4</v>
      </c>
      <c r="B5" s="11"/>
      <c r="C5" s="3"/>
      <c r="D5" s="3" t="s">
        <v>15</v>
      </c>
      <c r="E5" s="4" t="s">
        <v>10</v>
      </c>
      <c r="F5" s="5">
        <v>366</v>
      </c>
      <c r="G5" s="4" t="s">
        <v>27</v>
      </c>
      <c r="H5" s="6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22.5" customHeight="1" x14ac:dyDescent="0.2">
      <c r="A6" s="2">
        <v>5</v>
      </c>
      <c r="B6" s="11"/>
      <c r="C6" s="3"/>
      <c r="D6" s="3" t="s">
        <v>9</v>
      </c>
      <c r="E6" s="4" t="s">
        <v>10</v>
      </c>
      <c r="F6" s="5">
        <v>130</v>
      </c>
      <c r="G6" s="4" t="s">
        <v>28</v>
      </c>
      <c r="H6" s="6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22.5" customHeight="1" x14ac:dyDescent="0.2">
      <c r="A7" s="2">
        <v>6</v>
      </c>
      <c r="B7" s="11"/>
      <c r="C7" s="3"/>
      <c r="D7" s="3" t="s">
        <v>9</v>
      </c>
      <c r="E7" s="4" t="s">
        <v>10</v>
      </c>
      <c r="F7" s="5">
        <v>30</v>
      </c>
      <c r="G7" s="4" t="s">
        <v>29</v>
      </c>
      <c r="H7" s="6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22.5" customHeight="1" x14ac:dyDescent="0.2">
      <c r="A8" s="2">
        <v>7</v>
      </c>
      <c r="B8" s="11"/>
      <c r="C8" s="3"/>
      <c r="D8" s="3" t="s">
        <v>9</v>
      </c>
      <c r="E8" s="4" t="s">
        <v>10</v>
      </c>
      <c r="F8" s="5">
        <v>105</v>
      </c>
      <c r="G8" s="4" t="s">
        <v>30</v>
      </c>
      <c r="H8" s="6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22.5" customHeight="1" x14ac:dyDescent="0.2">
      <c r="A9" s="2">
        <v>8</v>
      </c>
      <c r="B9" s="11"/>
      <c r="C9" s="3"/>
      <c r="D9" s="3" t="s">
        <v>9</v>
      </c>
      <c r="E9" s="4" t="s">
        <v>10</v>
      </c>
      <c r="F9" s="5">
        <v>130</v>
      </c>
      <c r="G9" s="4" t="s">
        <v>31</v>
      </c>
      <c r="H9" s="6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22.5" customHeight="1" x14ac:dyDescent="0.2">
      <c r="A10" s="2">
        <v>9</v>
      </c>
      <c r="B10" s="11">
        <v>45978</v>
      </c>
      <c r="C10" s="3"/>
      <c r="D10" s="3" t="s">
        <v>20</v>
      </c>
      <c r="E10" s="4" t="s">
        <v>10</v>
      </c>
      <c r="F10" s="5">
        <v>18000</v>
      </c>
      <c r="G10" s="4" t="s">
        <v>32</v>
      </c>
      <c r="H10" s="6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22.5" customHeight="1" x14ac:dyDescent="0.2">
      <c r="A11" s="2">
        <v>10</v>
      </c>
      <c r="B11" s="11"/>
      <c r="C11" s="3"/>
      <c r="D11" s="3" t="s">
        <v>9</v>
      </c>
      <c r="E11" s="4" t="s">
        <v>10</v>
      </c>
      <c r="F11" s="5">
        <v>30</v>
      </c>
      <c r="G11" s="4" t="s">
        <v>33</v>
      </c>
      <c r="H11" s="6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22.5" customHeight="1" x14ac:dyDescent="0.2">
      <c r="A12" s="2">
        <v>11</v>
      </c>
      <c r="B12" s="11"/>
      <c r="C12" s="3"/>
      <c r="D12" s="3" t="s">
        <v>14</v>
      </c>
      <c r="E12" s="4" t="s">
        <v>10</v>
      </c>
      <c r="F12" s="5">
        <v>20</v>
      </c>
      <c r="G12" s="4" t="s">
        <v>23</v>
      </c>
      <c r="H12" s="6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22.5" customHeight="1" x14ac:dyDescent="0.2">
      <c r="A13" s="2">
        <v>12</v>
      </c>
      <c r="B13" s="11">
        <v>45977</v>
      </c>
      <c r="C13" s="3"/>
      <c r="D13" s="3" t="s">
        <v>13</v>
      </c>
      <c r="E13" s="4" t="s">
        <v>10</v>
      </c>
      <c r="F13" s="5">
        <v>526</v>
      </c>
      <c r="G13" s="4" t="s">
        <v>34</v>
      </c>
      <c r="H13" s="6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22.5" customHeight="1" x14ac:dyDescent="0.2">
      <c r="A14" s="2">
        <v>13</v>
      </c>
      <c r="B14" s="11"/>
      <c r="C14" s="3"/>
      <c r="D14" s="3" t="s">
        <v>9</v>
      </c>
      <c r="E14" s="4"/>
      <c r="F14" s="5">
        <v>230</v>
      </c>
      <c r="G14" s="4" t="s">
        <v>35</v>
      </c>
      <c r="H14" s="6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22.5" customHeight="1" x14ac:dyDescent="0.2">
      <c r="A15" s="2">
        <v>14</v>
      </c>
      <c r="B15" s="11"/>
      <c r="C15" s="3"/>
      <c r="D15" s="3" t="s">
        <v>12</v>
      </c>
      <c r="E15" s="4"/>
      <c r="F15" s="5">
        <v>400</v>
      </c>
      <c r="G15" s="4" t="s">
        <v>36</v>
      </c>
      <c r="H15" s="6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22.5" customHeight="1" x14ac:dyDescent="0.2">
      <c r="A16" s="2">
        <v>15</v>
      </c>
      <c r="B16" s="11"/>
      <c r="C16" s="3"/>
      <c r="D16" s="3" t="s">
        <v>9</v>
      </c>
      <c r="E16" s="4"/>
      <c r="F16" s="5">
        <v>20</v>
      </c>
      <c r="G16" s="4" t="s">
        <v>21</v>
      </c>
      <c r="H16" s="6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22.5" customHeight="1" x14ac:dyDescent="0.2">
      <c r="A17" s="2">
        <v>16</v>
      </c>
      <c r="B17" s="11"/>
      <c r="C17" s="3"/>
      <c r="D17" s="3" t="s">
        <v>9</v>
      </c>
      <c r="E17" s="4"/>
      <c r="F17" s="5">
        <v>80</v>
      </c>
      <c r="G17" s="4" t="s">
        <v>37</v>
      </c>
      <c r="H17" s="6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22.5" customHeight="1" x14ac:dyDescent="0.2">
      <c r="A18" s="2">
        <v>17</v>
      </c>
      <c r="B18" s="11">
        <v>45976</v>
      </c>
      <c r="C18" s="3"/>
      <c r="D18" s="3" t="s">
        <v>15</v>
      </c>
      <c r="E18" s="4"/>
      <c r="F18" s="5">
        <v>367</v>
      </c>
      <c r="G18" s="4" t="s">
        <v>38</v>
      </c>
      <c r="H18" s="6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22.5" customHeight="1" x14ac:dyDescent="0.2">
      <c r="A19" s="2">
        <v>18</v>
      </c>
      <c r="B19" s="11"/>
      <c r="C19" s="3"/>
      <c r="D19" s="3" t="s">
        <v>9</v>
      </c>
      <c r="E19" s="4"/>
      <c r="F19" s="5">
        <v>80</v>
      </c>
      <c r="G19" s="4" t="s">
        <v>39</v>
      </c>
      <c r="H19" s="6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22.5" customHeight="1" x14ac:dyDescent="0.2">
      <c r="A20" s="2">
        <v>19</v>
      </c>
      <c r="B20" s="11"/>
      <c r="C20" s="3"/>
      <c r="D20" s="3" t="s">
        <v>9</v>
      </c>
      <c r="E20" s="4"/>
      <c r="F20" s="5">
        <v>110</v>
      </c>
      <c r="G20" s="4" t="s">
        <v>40</v>
      </c>
      <c r="H20" s="6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22.5" customHeight="1" x14ac:dyDescent="0.2">
      <c r="A21" s="2">
        <v>20</v>
      </c>
      <c r="B21" s="11"/>
      <c r="C21" s="3"/>
      <c r="D21" s="3" t="s">
        <v>9</v>
      </c>
      <c r="E21" s="4"/>
      <c r="F21" s="5">
        <v>40</v>
      </c>
      <c r="G21" s="4" t="s">
        <v>41</v>
      </c>
      <c r="H21" s="6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22.5" customHeight="1" x14ac:dyDescent="0.2">
      <c r="A22" s="2">
        <v>21</v>
      </c>
      <c r="B22" s="11">
        <v>45975</v>
      </c>
      <c r="C22" s="3"/>
      <c r="D22" s="3" t="s">
        <v>14</v>
      </c>
      <c r="E22" s="4"/>
      <c r="F22" s="5">
        <v>20</v>
      </c>
      <c r="G22" s="4" t="s">
        <v>23</v>
      </c>
      <c r="H22" s="6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22.5" customHeight="1" x14ac:dyDescent="0.2">
      <c r="A23" s="2">
        <v>22</v>
      </c>
      <c r="B23" s="11"/>
      <c r="C23" s="3"/>
      <c r="D23" s="3" t="s">
        <v>11</v>
      </c>
      <c r="E23" s="4"/>
      <c r="F23" s="5">
        <v>37</v>
      </c>
      <c r="G23" s="4" t="s">
        <v>22</v>
      </c>
      <c r="H23" s="6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22.5" customHeight="1" x14ac:dyDescent="0.2">
      <c r="A24" s="2">
        <v>23</v>
      </c>
      <c r="B24" s="11">
        <v>45974</v>
      </c>
      <c r="C24" s="3"/>
      <c r="D24" s="3" t="s">
        <v>11</v>
      </c>
      <c r="E24" s="4"/>
      <c r="F24" s="5">
        <v>84</v>
      </c>
      <c r="G24" s="4" t="s">
        <v>42</v>
      </c>
      <c r="H24" s="6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22.5" customHeight="1" x14ac:dyDescent="0.2">
      <c r="A25" s="2">
        <v>24</v>
      </c>
      <c r="B25" s="11"/>
      <c r="C25" s="3"/>
      <c r="D25" s="3" t="s">
        <v>14</v>
      </c>
      <c r="E25" s="4"/>
      <c r="F25" s="5">
        <v>20</v>
      </c>
      <c r="G25" s="4" t="s">
        <v>43</v>
      </c>
      <c r="H25" s="6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22.5" customHeight="1" x14ac:dyDescent="0.2">
      <c r="A26" s="2">
        <v>25</v>
      </c>
      <c r="B26" s="11">
        <v>45973</v>
      </c>
      <c r="C26" s="3"/>
      <c r="D26" s="3"/>
      <c r="E26" s="4"/>
      <c r="F26" s="5">
        <v>10</v>
      </c>
      <c r="G26" s="4" t="s">
        <v>44</v>
      </c>
      <c r="H26" s="6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22.5" customHeight="1" x14ac:dyDescent="0.2">
      <c r="A27" s="2">
        <v>26</v>
      </c>
      <c r="B27" s="11">
        <v>45972</v>
      </c>
      <c r="C27" s="3"/>
      <c r="D27" s="3" t="s">
        <v>11</v>
      </c>
      <c r="E27" s="4"/>
      <c r="F27" s="5">
        <v>139</v>
      </c>
      <c r="G27" s="4" t="s">
        <v>45</v>
      </c>
      <c r="H27" s="6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22.5" customHeight="1" x14ac:dyDescent="0.2">
      <c r="A28" s="2">
        <v>27</v>
      </c>
      <c r="B28" s="11"/>
      <c r="C28" s="3"/>
      <c r="D28" s="3" t="s">
        <v>15</v>
      </c>
      <c r="E28" s="4"/>
      <c r="F28" s="5">
        <v>443</v>
      </c>
      <c r="G28" s="4" t="s">
        <v>38</v>
      </c>
      <c r="H28" s="6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22.5" customHeight="1" x14ac:dyDescent="0.2">
      <c r="A29" s="2">
        <v>28</v>
      </c>
      <c r="B29" s="11"/>
      <c r="C29" s="3"/>
      <c r="D29" s="3" t="s">
        <v>16</v>
      </c>
      <c r="E29" s="4"/>
      <c r="F29" s="5">
        <v>59</v>
      </c>
      <c r="G29" s="4" t="s">
        <v>46</v>
      </c>
      <c r="H29" s="6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22.5" customHeight="1" x14ac:dyDescent="0.2">
      <c r="A30" s="2">
        <v>29</v>
      </c>
      <c r="B30" s="11"/>
      <c r="C30" s="3"/>
      <c r="D30" s="3" t="s">
        <v>14</v>
      </c>
      <c r="E30" s="4"/>
      <c r="F30" s="5">
        <v>20</v>
      </c>
      <c r="G30" s="4" t="s">
        <v>23</v>
      </c>
      <c r="H30" s="6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22.5" customHeight="1" x14ac:dyDescent="0.2">
      <c r="A31" s="2">
        <v>30</v>
      </c>
      <c r="B31" s="11">
        <v>45971</v>
      </c>
      <c r="C31" s="3"/>
      <c r="D31" s="3" t="s">
        <v>14</v>
      </c>
      <c r="E31" s="4"/>
      <c r="F31" s="5">
        <v>20</v>
      </c>
      <c r="G31" s="4" t="s">
        <v>23</v>
      </c>
      <c r="H31" s="6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22.5" customHeight="1" x14ac:dyDescent="0.2">
      <c r="A32" s="2">
        <v>31</v>
      </c>
      <c r="B32" s="11">
        <v>45970</v>
      </c>
      <c r="C32" s="3"/>
      <c r="D32" s="3"/>
      <c r="E32" s="4"/>
      <c r="F32" s="5"/>
      <c r="G32" s="4"/>
      <c r="H32" s="6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22.5" customHeight="1" x14ac:dyDescent="0.2">
      <c r="A33" s="2">
        <v>32</v>
      </c>
      <c r="B33" s="11">
        <v>45979</v>
      </c>
      <c r="C33" s="3"/>
      <c r="D33" s="3" t="s">
        <v>11</v>
      </c>
      <c r="E33" s="4"/>
      <c r="F33" s="5">
        <v>106</v>
      </c>
      <c r="G33" s="4" t="s">
        <v>47</v>
      </c>
      <c r="H33" s="6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22.5" customHeight="1" x14ac:dyDescent="0.2">
      <c r="A34" s="2">
        <v>33</v>
      </c>
      <c r="B34" s="11"/>
      <c r="C34" s="3"/>
      <c r="D34" s="3"/>
      <c r="E34" s="4"/>
      <c r="F34" s="5"/>
      <c r="G34" s="4"/>
      <c r="H34" s="6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22.5" customHeight="1" x14ac:dyDescent="0.2">
      <c r="A35" s="2">
        <v>34</v>
      </c>
      <c r="B35" s="11"/>
      <c r="C35" s="3"/>
      <c r="D35" s="3"/>
      <c r="E35" s="4"/>
      <c r="F35" s="5"/>
      <c r="G35" s="4"/>
      <c r="H35" s="6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22.5" customHeight="1" x14ac:dyDescent="0.2">
      <c r="A36" s="2">
        <v>35</v>
      </c>
      <c r="B36" s="11"/>
      <c r="C36" s="3"/>
      <c r="D36" s="3"/>
      <c r="E36" s="4"/>
      <c r="F36" s="5"/>
      <c r="G36" s="4"/>
      <c r="H36" s="6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22.5" customHeight="1" x14ac:dyDescent="0.2">
      <c r="A37" s="2">
        <v>36</v>
      </c>
      <c r="B37" s="11"/>
      <c r="C37" s="3"/>
      <c r="D37" s="3"/>
      <c r="E37" s="4"/>
      <c r="F37" s="5"/>
      <c r="G37" s="4"/>
      <c r="H37" s="6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22.5" customHeight="1" x14ac:dyDescent="0.2">
      <c r="A38" s="2">
        <v>37</v>
      </c>
      <c r="B38" s="11"/>
      <c r="C38" s="3"/>
      <c r="D38" s="3"/>
      <c r="E38" s="4"/>
      <c r="F38" s="5"/>
      <c r="G38" s="4"/>
      <c r="H38" s="6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22.5" customHeight="1" x14ac:dyDescent="0.2">
      <c r="A39" s="2">
        <v>38</v>
      </c>
      <c r="B39" s="11"/>
      <c r="C39" s="3"/>
      <c r="D39" s="3"/>
      <c r="E39" s="4"/>
      <c r="F39" s="5"/>
      <c r="G39" s="4"/>
      <c r="H39" s="6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22.5" customHeight="1" x14ac:dyDescent="0.2">
      <c r="A40" s="2">
        <v>39</v>
      </c>
      <c r="B40" s="11"/>
      <c r="C40" s="3"/>
      <c r="D40" s="3"/>
      <c r="E40" s="4"/>
      <c r="F40" s="5"/>
      <c r="G40" s="6"/>
      <c r="H40" s="6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22.5" customHeight="1" x14ac:dyDescent="0.2">
      <c r="A41" s="2">
        <v>40</v>
      </c>
      <c r="B41" s="11"/>
      <c r="C41" s="3"/>
      <c r="D41" s="3"/>
      <c r="E41" s="4"/>
      <c r="F41" s="5"/>
      <c r="G41" s="6"/>
      <c r="H41" s="6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22.5" customHeight="1" x14ac:dyDescent="0.2">
      <c r="A42" s="2">
        <v>41</v>
      </c>
      <c r="B42" s="11"/>
      <c r="C42" s="3"/>
      <c r="D42" s="3"/>
      <c r="E42" s="4"/>
      <c r="F42" s="5"/>
      <c r="G42" s="4"/>
      <c r="H42" s="6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22.5" customHeight="1" x14ac:dyDescent="0.2">
      <c r="A43" s="2">
        <v>42</v>
      </c>
      <c r="B43" s="11"/>
      <c r="C43" s="3"/>
      <c r="D43" s="3"/>
      <c r="E43" s="4"/>
      <c r="F43" s="5"/>
      <c r="G43" s="4"/>
      <c r="H43" s="6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22.5" customHeight="1" x14ac:dyDescent="0.2">
      <c r="A44" s="2">
        <v>43</v>
      </c>
      <c r="B44" s="11"/>
      <c r="C44" s="3"/>
      <c r="D44" s="3"/>
      <c r="E44" s="4"/>
      <c r="F44" s="5"/>
      <c r="G44" s="4"/>
      <c r="H44" s="6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22.5" customHeight="1" x14ac:dyDescent="0.2">
      <c r="A45" s="2">
        <v>44</v>
      </c>
      <c r="B45" s="11"/>
      <c r="C45" s="3"/>
      <c r="D45" s="3"/>
      <c r="E45" s="4"/>
      <c r="F45" s="5"/>
      <c r="G45" s="6"/>
      <c r="H45" s="6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22.5" customHeight="1" x14ac:dyDescent="0.2">
      <c r="A46" s="2">
        <v>45</v>
      </c>
      <c r="B46" s="11"/>
      <c r="C46" s="3"/>
      <c r="D46" s="3"/>
      <c r="E46" s="4"/>
      <c r="F46" s="5"/>
      <c r="G46" s="4"/>
      <c r="H46" s="6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22.5" customHeight="1" x14ac:dyDescent="0.2">
      <c r="A47" s="2">
        <v>46</v>
      </c>
      <c r="B47" s="11"/>
      <c r="C47" s="3"/>
      <c r="D47" s="3"/>
      <c r="E47" s="4"/>
      <c r="F47" s="5"/>
      <c r="G47" s="4"/>
      <c r="H47" s="6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22.5" customHeight="1" x14ac:dyDescent="0.2">
      <c r="A48" s="2">
        <v>47</v>
      </c>
      <c r="B48" s="11"/>
      <c r="C48" s="3"/>
      <c r="D48" s="3"/>
      <c r="E48" s="4"/>
      <c r="F48" s="5"/>
      <c r="G48" s="4"/>
      <c r="H48" s="6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22.5" customHeight="1" x14ac:dyDescent="0.2">
      <c r="A49" s="2">
        <v>48</v>
      </c>
      <c r="B49" s="11"/>
      <c r="C49" s="3"/>
      <c r="D49" s="3"/>
      <c r="E49" s="4"/>
      <c r="F49" s="5"/>
      <c r="G49" s="4"/>
      <c r="H49" s="6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22.5" customHeight="1" x14ac:dyDescent="0.2">
      <c r="A50" s="2">
        <v>49</v>
      </c>
      <c r="B50" s="11"/>
      <c r="C50" s="3"/>
      <c r="D50" s="3"/>
      <c r="E50" s="4"/>
      <c r="F50" s="5"/>
      <c r="G50" s="4"/>
      <c r="H50" s="6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22.5" customHeight="1" x14ac:dyDescent="0.2">
      <c r="A51" s="2">
        <v>50</v>
      </c>
      <c r="B51" s="11"/>
      <c r="C51" s="3"/>
      <c r="D51" s="3"/>
      <c r="E51" s="4"/>
      <c r="F51" s="5"/>
      <c r="G51" s="4"/>
      <c r="H51" s="6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22.5" customHeight="1" x14ac:dyDescent="0.2">
      <c r="A52" s="2">
        <v>51</v>
      </c>
      <c r="B52" s="11"/>
      <c r="C52" s="3"/>
      <c r="D52" s="3"/>
      <c r="E52" s="4"/>
      <c r="F52" s="5"/>
      <c r="G52" s="4"/>
      <c r="H52" s="6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22.5" customHeight="1" x14ac:dyDescent="0.2">
      <c r="A53" s="2">
        <v>52</v>
      </c>
      <c r="B53" s="11"/>
      <c r="C53" s="3"/>
      <c r="D53" s="3"/>
      <c r="E53" s="4"/>
      <c r="F53" s="5"/>
      <c r="G53" s="4"/>
      <c r="H53" s="6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22.5" customHeight="1" x14ac:dyDescent="0.2">
      <c r="A54" s="2">
        <v>53</v>
      </c>
      <c r="B54" s="11"/>
      <c r="C54" s="3"/>
      <c r="D54" s="3"/>
      <c r="E54" s="4"/>
      <c r="F54" s="5"/>
      <c r="G54" s="4"/>
      <c r="H54" s="6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22.5" customHeight="1" x14ac:dyDescent="0.2">
      <c r="A55" s="2">
        <v>54</v>
      </c>
      <c r="B55" s="11"/>
      <c r="C55" s="3"/>
      <c r="D55" s="3"/>
      <c r="E55" s="4"/>
      <c r="F55" s="5"/>
      <c r="G55" s="4"/>
      <c r="H55" s="6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22.5" customHeight="1" x14ac:dyDescent="0.2">
      <c r="A56" s="2">
        <v>55</v>
      </c>
      <c r="B56" s="11"/>
      <c r="C56" s="3"/>
      <c r="D56" s="3"/>
      <c r="E56" s="4"/>
      <c r="F56" s="5"/>
      <c r="G56" s="4"/>
      <c r="H56" s="6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22.5" customHeight="1" x14ac:dyDescent="0.2">
      <c r="A57" s="2">
        <v>56</v>
      </c>
      <c r="B57" s="11"/>
      <c r="C57" s="3"/>
      <c r="D57" s="3"/>
      <c r="E57" s="4"/>
      <c r="F57" s="5"/>
      <c r="G57" s="4"/>
      <c r="H57" s="6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22.5" customHeight="1" x14ac:dyDescent="0.2">
      <c r="A58" s="2">
        <v>57</v>
      </c>
      <c r="B58" s="11"/>
      <c r="C58" s="3"/>
      <c r="D58" s="3"/>
      <c r="E58" s="4"/>
      <c r="F58" s="5"/>
      <c r="G58" s="4"/>
      <c r="H58" s="6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22.5" customHeight="1" x14ac:dyDescent="0.2">
      <c r="A59" s="2">
        <v>58</v>
      </c>
      <c r="B59" s="11"/>
      <c r="C59" s="3"/>
      <c r="D59" s="3"/>
      <c r="E59" s="4"/>
      <c r="F59" s="5"/>
      <c r="G59" s="4"/>
      <c r="H59" s="6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22.5" customHeight="1" x14ac:dyDescent="0.2">
      <c r="A60" s="2">
        <v>59</v>
      </c>
      <c r="B60" s="25"/>
      <c r="C60" s="26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22.5" customHeight="1" x14ac:dyDescent="0.2">
      <c r="A61" s="2">
        <v>60</v>
      </c>
      <c r="B61" s="11"/>
      <c r="C61" s="3"/>
      <c r="D61" s="3"/>
      <c r="E61" s="4"/>
      <c r="F61" s="5"/>
      <c r="G61" s="4"/>
      <c r="H61" s="6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22.5" customHeight="1" x14ac:dyDescent="0.2">
      <c r="A62" s="2">
        <v>61</v>
      </c>
      <c r="B62" s="11"/>
      <c r="C62" s="3"/>
      <c r="D62" s="3"/>
      <c r="E62" s="4"/>
      <c r="F62" s="5"/>
      <c r="G62" s="4"/>
      <c r="H62" s="6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22.5" customHeight="1" x14ac:dyDescent="0.2">
      <c r="A63" s="2">
        <v>62</v>
      </c>
      <c r="B63" s="11"/>
      <c r="C63" s="3"/>
      <c r="D63" s="3"/>
      <c r="E63" s="4"/>
      <c r="F63" s="5"/>
      <c r="G63" s="6"/>
      <c r="H63" s="6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22.5" customHeight="1" x14ac:dyDescent="0.2">
      <c r="A64" s="2">
        <v>63</v>
      </c>
      <c r="B64" s="11"/>
      <c r="C64" s="3"/>
      <c r="D64" s="3"/>
      <c r="E64" s="4"/>
      <c r="F64" s="5"/>
      <c r="G64" s="4"/>
      <c r="H64" s="6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22.5" customHeight="1" x14ac:dyDescent="0.2">
      <c r="A65" s="2">
        <v>64</v>
      </c>
      <c r="B65" s="11"/>
      <c r="C65" s="3"/>
      <c r="D65" s="9"/>
      <c r="E65" s="4"/>
      <c r="F65" s="5"/>
      <c r="G65" s="6"/>
      <c r="H65" s="6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22.5" customHeight="1" x14ac:dyDescent="0.2">
      <c r="A66" s="2">
        <v>65</v>
      </c>
      <c r="B66" s="11"/>
      <c r="C66" s="3"/>
      <c r="D66" s="9"/>
      <c r="E66" s="4"/>
      <c r="F66" s="5"/>
      <c r="G66" s="6"/>
      <c r="H66" s="6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22.5" customHeight="1" x14ac:dyDescent="0.2">
      <c r="A67" s="2">
        <v>66</v>
      </c>
      <c r="B67" s="11"/>
      <c r="C67" s="3"/>
      <c r="D67" s="9"/>
      <c r="E67" s="4"/>
      <c r="F67" s="5"/>
      <c r="G67" s="6"/>
      <c r="H67" s="6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22.5" customHeight="1" x14ac:dyDescent="0.2">
      <c r="A68" s="2">
        <v>67</v>
      </c>
      <c r="B68" s="11"/>
      <c r="C68" s="3"/>
      <c r="D68" s="3"/>
      <c r="E68" s="4"/>
      <c r="F68" s="5"/>
      <c r="G68" s="4"/>
      <c r="H68" s="6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22.5" customHeight="1" x14ac:dyDescent="0.2">
      <c r="A69" s="2">
        <v>68</v>
      </c>
      <c r="B69" s="11"/>
      <c r="C69" s="3"/>
      <c r="D69" s="3"/>
      <c r="E69" s="4"/>
      <c r="F69" s="5"/>
      <c r="G69" s="4"/>
      <c r="H69" s="6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22.5" customHeight="1" x14ac:dyDescent="0.2">
      <c r="A70" s="2">
        <v>69</v>
      </c>
      <c r="B70" s="11"/>
      <c r="C70" s="3"/>
      <c r="D70" s="3"/>
      <c r="E70" s="4"/>
      <c r="F70" s="5"/>
      <c r="G70" s="4"/>
      <c r="H70" s="6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22.5" customHeight="1" x14ac:dyDescent="0.2">
      <c r="A71" s="2">
        <v>70</v>
      </c>
      <c r="B71" s="11"/>
      <c r="C71" s="3"/>
      <c r="D71" s="3"/>
      <c r="E71" s="4"/>
      <c r="F71" s="5"/>
      <c r="G71" s="4"/>
      <c r="H71" s="6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22.5" customHeight="1" x14ac:dyDescent="0.2">
      <c r="A72" s="2">
        <v>71</v>
      </c>
      <c r="B72" s="11"/>
      <c r="C72" s="3"/>
      <c r="D72" s="3"/>
      <c r="E72" s="4"/>
      <c r="F72" s="5"/>
      <c r="G72" s="4"/>
      <c r="H72" s="6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22.5" customHeight="1" x14ac:dyDescent="0.2">
      <c r="A73" s="2">
        <v>72</v>
      </c>
      <c r="B73" s="11"/>
      <c r="C73" s="3"/>
      <c r="D73" s="3"/>
      <c r="E73" s="4"/>
      <c r="F73" s="5"/>
      <c r="G73" s="4"/>
      <c r="H73" s="6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22.5" customHeight="1" x14ac:dyDescent="0.2">
      <c r="A74" s="2">
        <v>73</v>
      </c>
      <c r="B74" s="11"/>
      <c r="C74" s="3"/>
      <c r="D74" s="3"/>
      <c r="E74" s="4"/>
      <c r="F74" s="5"/>
      <c r="G74" s="4"/>
      <c r="H74" s="6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22.5" customHeight="1" x14ac:dyDescent="0.2">
      <c r="A75" s="2">
        <v>74</v>
      </c>
      <c r="B75" s="11"/>
      <c r="C75" s="3"/>
      <c r="D75" s="3"/>
      <c r="E75" s="4"/>
      <c r="F75" s="5"/>
      <c r="G75" s="4"/>
      <c r="H75" s="6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22.5" customHeight="1" x14ac:dyDescent="0.2">
      <c r="A76" s="2">
        <v>75</v>
      </c>
      <c r="B76" s="11"/>
      <c r="C76" s="3"/>
      <c r="D76" s="3"/>
      <c r="E76" s="4"/>
      <c r="F76" s="5"/>
      <c r="G76" s="4"/>
      <c r="H76" s="6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22.5" customHeight="1" x14ac:dyDescent="0.2">
      <c r="A77" s="2">
        <v>76</v>
      </c>
      <c r="B77" s="11"/>
      <c r="C77" s="3"/>
      <c r="D77" s="3"/>
      <c r="E77" s="4"/>
      <c r="F77" s="5"/>
      <c r="G77" s="4"/>
      <c r="H77" s="6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22.5" customHeight="1" x14ac:dyDescent="0.2">
      <c r="A78" s="2">
        <v>77</v>
      </c>
      <c r="B78" s="11"/>
      <c r="C78" s="3"/>
      <c r="D78" s="3"/>
      <c r="E78" s="4"/>
      <c r="F78" s="5"/>
      <c r="G78" s="4"/>
      <c r="H78" s="6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22.5" customHeight="1" x14ac:dyDescent="0.2">
      <c r="A79" s="2">
        <v>78</v>
      </c>
      <c r="B79" s="11"/>
      <c r="C79" s="3"/>
      <c r="D79" s="3"/>
      <c r="E79" s="4"/>
      <c r="F79" s="5"/>
      <c r="G79" s="4"/>
      <c r="H79" s="6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22.5" customHeight="1" x14ac:dyDescent="0.2">
      <c r="A80" s="2">
        <v>79</v>
      </c>
      <c r="B80" s="11"/>
      <c r="C80" s="3"/>
      <c r="D80" s="3"/>
      <c r="E80" s="4"/>
      <c r="F80" s="5"/>
      <c r="G80" s="4"/>
      <c r="H80" s="6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22.5" customHeight="1" x14ac:dyDescent="0.2">
      <c r="A81" s="2">
        <v>80</v>
      </c>
      <c r="B81" s="11"/>
      <c r="C81" s="3"/>
      <c r="D81" s="3"/>
      <c r="E81" s="4"/>
      <c r="F81" s="5"/>
      <c r="G81" s="4"/>
      <c r="H81" s="6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22.5" customHeight="1" x14ac:dyDescent="0.2">
      <c r="A82" s="2">
        <v>81</v>
      </c>
      <c r="B82" s="11"/>
      <c r="C82" s="3"/>
      <c r="D82" s="3"/>
      <c r="E82" s="4"/>
      <c r="F82" s="5"/>
      <c r="G82" s="4"/>
      <c r="H82" s="6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22.5" customHeight="1" x14ac:dyDescent="0.2">
      <c r="A83" s="2">
        <v>82</v>
      </c>
      <c r="B83" s="11"/>
      <c r="C83" s="3"/>
      <c r="D83" s="3"/>
      <c r="E83" s="4"/>
      <c r="F83" s="5"/>
      <c r="G83" s="4"/>
      <c r="H83" s="6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22.5" customHeight="1" x14ac:dyDescent="0.2">
      <c r="A84" s="2">
        <v>83</v>
      </c>
      <c r="B84" s="11"/>
      <c r="C84" s="3"/>
      <c r="D84" s="3"/>
      <c r="E84" s="4"/>
      <c r="F84" s="5"/>
      <c r="G84" s="4"/>
      <c r="H84" s="6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22.5" customHeight="1" x14ac:dyDescent="0.2">
      <c r="A85" s="2">
        <v>84</v>
      </c>
      <c r="B85" s="11"/>
      <c r="C85" s="3"/>
      <c r="D85" s="3"/>
      <c r="E85" s="4"/>
      <c r="F85" s="5"/>
      <c r="G85" s="4"/>
      <c r="H85" s="6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22.5" customHeight="1" x14ac:dyDescent="0.2">
      <c r="A86" s="2">
        <v>85</v>
      </c>
      <c r="B86" s="11"/>
      <c r="C86" s="3"/>
      <c r="D86" s="9"/>
      <c r="E86" s="4"/>
      <c r="F86" s="5"/>
      <c r="G86" s="6"/>
      <c r="H86" s="6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22.5" customHeight="1" x14ac:dyDescent="0.2">
      <c r="A87" s="2">
        <v>86</v>
      </c>
      <c r="B87" s="11"/>
      <c r="C87" s="3"/>
      <c r="D87" s="3"/>
      <c r="E87" s="4"/>
      <c r="F87" s="5"/>
      <c r="G87" s="4"/>
      <c r="H87" s="6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22.5" customHeight="1" x14ac:dyDescent="0.2">
      <c r="A88" s="2">
        <v>87</v>
      </c>
      <c r="B88" s="11"/>
      <c r="C88" s="3"/>
      <c r="D88" s="3"/>
      <c r="E88" s="4"/>
      <c r="F88" s="5"/>
      <c r="G88" s="4"/>
      <c r="H88" s="6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22.5" customHeight="1" x14ac:dyDescent="0.2">
      <c r="A89" s="2">
        <v>88</v>
      </c>
      <c r="B89" s="11"/>
      <c r="C89" s="3"/>
      <c r="D89" s="3"/>
      <c r="E89" s="4"/>
      <c r="F89" s="5"/>
      <c r="G89" s="4"/>
      <c r="H89" s="6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22.5" customHeight="1" x14ac:dyDescent="0.2">
      <c r="A90" s="2">
        <v>89</v>
      </c>
      <c r="B90" s="11"/>
      <c r="C90" s="3"/>
      <c r="D90" s="3"/>
      <c r="E90" s="4"/>
      <c r="F90" s="5"/>
      <c r="G90" s="4"/>
      <c r="H90" s="6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22.5" customHeight="1" x14ac:dyDescent="0.2">
      <c r="A91" s="2">
        <v>90</v>
      </c>
      <c r="B91" s="11"/>
      <c r="C91" s="3"/>
      <c r="D91" s="3"/>
      <c r="E91" s="4"/>
      <c r="F91" s="5"/>
      <c r="G91" s="4"/>
      <c r="H91" s="6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22.5" customHeight="1" x14ac:dyDescent="0.2">
      <c r="A92" s="2">
        <v>91</v>
      </c>
      <c r="B92" s="11"/>
      <c r="C92" s="3"/>
      <c r="D92" s="3"/>
      <c r="E92" s="4"/>
      <c r="F92" s="5"/>
      <c r="G92" s="4"/>
      <c r="H92" s="6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22.5" customHeight="1" x14ac:dyDescent="0.2">
      <c r="A93" s="2">
        <v>92</v>
      </c>
      <c r="B93" s="11"/>
      <c r="C93" s="3"/>
      <c r="D93" s="9"/>
      <c r="E93" s="4"/>
      <c r="F93" s="10"/>
      <c r="G93" s="6"/>
      <c r="H93" s="6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22.5" customHeight="1" x14ac:dyDescent="0.2">
      <c r="A94" s="2">
        <v>93</v>
      </c>
      <c r="B94" s="11"/>
      <c r="C94" s="3"/>
      <c r="D94" s="9"/>
      <c r="E94" s="6"/>
      <c r="F94" s="10"/>
      <c r="G94" s="6"/>
      <c r="H94" s="6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22.5" customHeight="1" x14ac:dyDescent="0.2">
      <c r="A95" s="2">
        <v>94</v>
      </c>
      <c r="B95" s="11"/>
      <c r="C95" s="9"/>
      <c r="D95" s="9"/>
      <c r="E95" s="6"/>
      <c r="F95" s="10"/>
      <c r="G95" s="6"/>
      <c r="H95" s="6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22.5" customHeight="1" x14ac:dyDescent="0.2">
      <c r="A96" s="2">
        <v>95</v>
      </c>
      <c r="B96" s="11"/>
      <c r="C96" s="9"/>
      <c r="D96" s="9"/>
      <c r="E96" s="6"/>
      <c r="F96" s="10"/>
      <c r="G96" s="6"/>
      <c r="H96" s="6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22.5" customHeight="1" x14ac:dyDescent="0.2">
      <c r="A97" s="2">
        <v>96</v>
      </c>
      <c r="B97" s="11"/>
      <c r="C97" s="9"/>
      <c r="D97" s="9"/>
      <c r="E97" s="6"/>
      <c r="F97" s="10"/>
      <c r="G97" s="6"/>
      <c r="H97" s="6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22.5" customHeight="1" x14ac:dyDescent="0.2">
      <c r="A98" s="2">
        <v>97</v>
      </c>
      <c r="B98" s="11"/>
      <c r="C98" s="9"/>
      <c r="D98" s="9"/>
      <c r="E98" s="6"/>
      <c r="F98" s="10"/>
      <c r="G98" s="6"/>
      <c r="H98" s="6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22.5" customHeight="1" x14ac:dyDescent="0.2">
      <c r="A99" s="2">
        <v>98</v>
      </c>
      <c r="B99" s="11"/>
      <c r="C99" s="9"/>
      <c r="D99" s="9"/>
      <c r="E99" s="6"/>
      <c r="F99" s="10"/>
      <c r="G99" s="6"/>
      <c r="H99" s="6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22.5" customHeight="1" x14ac:dyDescent="0.2">
      <c r="A100" s="2">
        <v>99</v>
      </c>
      <c r="B100" s="11"/>
      <c r="C100" s="9"/>
      <c r="D100" s="9"/>
      <c r="E100" s="6"/>
      <c r="F100" s="10"/>
      <c r="G100" s="6"/>
      <c r="H100" s="6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22.5" customHeight="1" x14ac:dyDescent="0.2">
      <c r="A101" s="2">
        <v>100</v>
      </c>
      <c r="B101" s="11"/>
      <c r="C101" s="9"/>
      <c r="D101" s="9"/>
      <c r="E101" s="6"/>
      <c r="F101" s="10"/>
      <c r="G101" s="6"/>
      <c r="H101" s="6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75" x14ac:dyDescent="0.2">
      <c r="A102" s="12"/>
      <c r="B102" s="12"/>
      <c r="C102" s="12"/>
      <c r="D102" s="12"/>
      <c r="E102" s="12"/>
      <c r="F102" s="12"/>
      <c r="G102" s="12"/>
      <c r="H102" s="12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75" x14ac:dyDescent="0.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75" x14ac:dyDescent="0.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75" x14ac:dyDescent="0.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75" x14ac:dyDescent="0.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75" x14ac:dyDescent="0.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75" x14ac:dyDescent="0.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75" x14ac:dyDescent="0.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75" x14ac:dyDescent="0.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75" x14ac:dyDescent="0.2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75" x14ac:dyDescent="0.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75" x14ac:dyDescent="0.2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75" x14ac:dyDescent="0.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75" x14ac:dyDescent="0.2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75" x14ac:dyDescent="0.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75" x14ac:dyDescent="0.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75" x14ac:dyDescent="0.2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75" x14ac:dyDescent="0.2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75" x14ac:dyDescent="0.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75" x14ac:dyDescent="0.2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75" x14ac:dyDescent="0.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75" x14ac:dyDescent="0.2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75" x14ac:dyDescent="0.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75" x14ac:dyDescent="0.2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75" x14ac:dyDescent="0.2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75" x14ac:dyDescent="0.2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75" x14ac:dyDescent="0.2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75" x14ac:dyDescent="0.2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75" x14ac:dyDescent="0.2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75" x14ac:dyDescent="0.2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75" x14ac:dyDescent="0.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75" x14ac:dyDescent="0.2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75" x14ac:dyDescent="0.2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75" x14ac:dyDescent="0.2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75" x14ac:dyDescent="0.2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75" x14ac:dyDescent="0.2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75" x14ac:dyDescent="0.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75" x14ac:dyDescent="0.2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75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75" x14ac:dyDescent="0.2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75" x14ac:dyDescent="0.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75" x14ac:dyDescent="0.2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75" x14ac:dyDescent="0.2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75" x14ac:dyDescent="0.2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75" x14ac:dyDescent="0.2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75" x14ac:dyDescent="0.2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75" x14ac:dyDescent="0.2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75" x14ac:dyDescent="0.2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75" x14ac:dyDescent="0.2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75" x14ac:dyDescent="0.2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75" x14ac:dyDescent="0.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75" x14ac:dyDescent="0.2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75" x14ac:dyDescent="0.2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75" x14ac:dyDescent="0.2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75" x14ac:dyDescent="0.2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75" x14ac:dyDescent="0.2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75" x14ac:dyDescent="0.2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75" x14ac:dyDescent="0.2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75" x14ac:dyDescent="0.2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75" x14ac:dyDescent="0.2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75" x14ac:dyDescent="0.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75" x14ac:dyDescent="0.2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75" x14ac:dyDescent="0.2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75" x14ac:dyDescent="0.2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75" x14ac:dyDescent="0.2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75" x14ac:dyDescent="0.2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75" x14ac:dyDescent="0.2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75" x14ac:dyDescent="0.2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75" x14ac:dyDescent="0.2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75" x14ac:dyDescent="0.2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75" x14ac:dyDescent="0.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75" x14ac:dyDescent="0.2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75" x14ac:dyDescent="0.2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75" x14ac:dyDescent="0.2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75" x14ac:dyDescent="0.2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75" x14ac:dyDescent="0.2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75" x14ac:dyDescent="0.2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75" x14ac:dyDescent="0.2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75" x14ac:dyDescent="0.2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75" x14ac:dyDescent="0.2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75" x14ac:dyDescent="0.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75" x14ac:dyDescent="0.2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75" x14ac:dyDescent="0.2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75" x14ac:dyDescent="0.2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75" x14ac:dyDescent="0.2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75" x14ac:dyDescent="0.2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75" x14ac:dyDescent="0.2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75" x14ac:dyDescent="0.2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75" x14ac:dyDescent="0.2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75" x14ac:dyDescent="0.2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75" x14ac:dyDescent="0.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75" x14ac:dyDescent="0.2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75" x14ac:dyDescent="0.2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75" x14ac:dyDescent="0.2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75" x14ac:dyDescent="0.2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75" x14ac:dyDescent="0.2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75" x14ac:dyDescent="0.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75" x14ac:dyDescent="0.2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75" x14ac:dyDescent="0.2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75" x14ac:dyDescent="0.2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75" x14ac:dyDescent="0.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75" x14ac:dyDescent="0.2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75" x14ac:dyDescent="0.2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75" x14ac:dyDescent="0.2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75" x14ac:dyDescent="0.2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75" x14ac:dyDescent="0.2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75" x14ac:dyDescent="0.2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75" x14ac:dyDescent="0.2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75" x14ac:dyDescent="0.2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75" x14ac:dyDescent="0.2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75" x14ac:dyDescent="0.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75" x14ac:dyDescent="0.2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75" x14ac:dyDescent="0.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75" x14ac:dyDescent="0.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75" x14ac:dyDescent="0.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75" x14ac:dyDescent="0.2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x14ac:dyDescent="0.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75" x14ac:dyDescent="0.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75" x14ac:dyDescent="0.2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x14ac:dyDescent="0.2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75" x14ac:dyDescent="0.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75" x14ac:dyDescent="0.2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75" x14ac:dyDescent="0.2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75" x14ac:dyDescent="0.2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75" x14ac:dyDescent="0.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75" x14ac:dyDescent="0.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75" x14ac:dyDescent="0.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75" x14ac:dyDescent="0.2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75" x14ac:dyDescent="0.2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75" x14ac:dyDescent="0.2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75" x14ac:dyDescent="0.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75" x14ac:dyDescent="0.2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75" x14ac:dyDescent="0.2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75" x14ac:dyDescent="0.2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75" x14ac:dyDescent="0.2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75" x14ac:dyDescent="0.2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75" x14ac:dyDescent="0.2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75" x14ac:dyDescent="0.2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75" x14ac:dyDescent="0.2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75" x14ac:dyDescent="0.2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75" x14ac:dyDescent="0.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75" x14ac:dyDescent="0.2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75" x14ac:dyDescent="0.2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75" x14ac:dyDescent="0.2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75" x14ac:dyDescent="0.2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75" x14ac:dyDescent="0.2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75" x14ac:dyDescent="0.2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75" x14ac:dyDescent="0.2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75" x14ac:dyDescent="0.2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75" x14ac:dyDescent="0.2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75" x14ac:dyDescent="0.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75" x14ac:dyDescent="0.2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75" x14ac:dyDescent="0.2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75" x14ac:dyDescent="0.2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75" x14ac:dyDescent="0.2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75" x14ac:dyDescent="0.2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75" x14ac:dyDescent="0.2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75" x14ac:dyDescent="0.2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75" x14ac:dyDescent="0.2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75" x14ac:dyDescent="0.2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75" x14ac:dyDescent="0.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75" x14ac:dyDescent="0.2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75" x14ac:dyDescent="0.2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75" x14ac:dyDescent="0.2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75" x14ac:dyDescent="0.2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75" x14ac:dyDescent="0.2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75" x14ac:dyDescent="0.2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75" x14ac:dyDescent="0.2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75" x14ac:dyDescent="0.2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75" x14ac:dyDescent="0.2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75" x14ac:dyDescent="0.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75" x14ac:dyDescent="0.2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75" x14ac:dyDescent="0.2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75" x14ac:dyDescent="0.2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75" x14ac:dyDescent="0.2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75" x14ac:dyDescent="0.2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75" x14ac:dyDescent="0.2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75" x14ac:dyDescent="0.2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75" x14ac:dyDescent="0.2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75" x14ac:dyDescent="0.2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75" x14ac:dyDescent="0.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75" x14ac:dyDescent="0.2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75" x14ac:dyDescent="0.2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75" x14ac:dyDescent="0.2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75" x14ac:dyDescent="0.2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75" x14ac:dyDescent="0.2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75" x14ac:dyDescent="0.2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75" x14ac:dyDescent="0.2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75" x14ac:dyDescent="0.2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75" x14ac:dyDescent="0.2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75" x14ac:dyDescent="0.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75" x14ac:dyDescent="0.2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75" x14ac:dyDescent="0.2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75" x14ac:dyDescent="0.2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75" x14ac:dyDescent="0.2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75" x14ac:dyDescent="0.2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75" x14ac:dyDescent="0.2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75" x14ac:dyDescent="0.2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75" x14ac:dyDescent="0.2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75" x14ac:dyDescent="0.2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75" x14ac:dyDescent="0.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75" x14ac:dyDescent="0.2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75" x14ac:dyDescent="0.2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75" x14ac:dyDescent="0.2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75" x14ac:dyDescent="0.2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75" x14ac:dyDescent="0.2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75" x14ac:dyDescent="0.2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75" x14ac:dyDescent="0.2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75" x14ac:dyDescent="0.2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75" x14ac:dyDescent="0.2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75" x14ac:dyDescent="0.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75" x14ac:dyDescent="0.2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75" x14ac:dyDescent="0.2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75" x14ac:dyDescent="0.2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75" x14ac:dyDescent="0.2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75" x14ac:dyDescent="0.2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75" x14ac:dyDescent="0.2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75" x14ac:dyDescent="0.2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75" x14ac:dyDescent="0.2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75" x14ac:dyDescent="0.2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75" x14ac:dyDescent="0.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75" x14ac:dyDescent="0.2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75" x14ac:dyDescent="0.2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75" x14ac:dyDescent="0.2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75" x14ac:dyDescent="0.2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75" x14ac:dyDescent="0.2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75" x14ac:dyDescent="0.2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75" x14ac:dyDescent="0.2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75" x14ac:dyDescent="0.2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75" x14ac:dyDescent="0.2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75" x14ac:dyDescent="0.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75" x14ac:dyDescent="0.2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75" x14ac:dyDescent="0.2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75" x14ac:dyDescent="0.2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75" x14ac:dyDescent="0.2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75" x14ac:dyDescent="0.2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75" x14ac:dyDescent="0.2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75" x14ac:dyDescent="0.2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75" x14ac:dyDescent="0.2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75" x14ac:dyDescent="0.2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75" x14ac:dyDescent="0.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75" x14ac:dyDescent="0.2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75" x14ac:dyDescent="0.2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75" x14ac:dyDescent="0.2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75" x14ac:dyDescent="0.2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75" x14ac:dyDescent="0.2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75" x14ac:dyDescent="0.2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75" x14ac:dyDescent="0.2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75" x14ac:dyDescent="0.2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75" x14ac:dyDescent="0.2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75" x14ac:dyDescent="0.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75" x14ac:dyDescent="0.2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75" x14ac:dyDescent="0.2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75" x14ac:dyDescent="0.2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75" x14ac:dyDescent="0.2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75" x14ac:dyDescent="0.2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75" x14ac:dyDescent="0.2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75" x14ac:dyDescent="0.2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x14ac:dyDescent="0.2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x14ac:dyDescent="0.2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x14ac:dyDescent="0.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x14ac:dyDescent="0.2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x14ac:dyDescent="0.2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x14ac:dyDescent="0.2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x14ac:dyDescent="0.2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x14ac:dyDescent="0.2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x14ac:dyDescent="0.2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x14ac:dyDescent="0.2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x14ac:dyDescent="0.2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x14ac:dyDescent="0.2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x14ac:dyDescent="0.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x14ac:dyDescent="0.2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x14ac:dyDescent="0.2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x14ac:dyDescent="0.2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x14ac:dyDescent="0.2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x14ac:dyDescent="0.2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x14ac:dyDescent="0.2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x14ac:dyDescent="0.2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x14ac:dyDescent="0.2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x14ac:dyDescent="0.2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x14ac:dyDescent="0.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x14ac:dyDescent="0.2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x14ac:dyDescent="0.2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x14ac:dyDescent="0.2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x14ac:dyDescent="0.2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x14ac:dyDescent="0.2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x14ac:dyDescent="0.2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x14ac:dyDescent="0.2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x14ac:dyDescent="0.2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x14ac:dyDescent="0.2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x14ac:dyDescent="0.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x14ac:dyDescent="0.2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x14ac:dyDescent="0.2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x14ac:dyDescent="0.2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x14ac:dyDescent="0.2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x14ac:dyDescent="0.2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x14ac:dyDescent="0.2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x14ac:dyDescent="0.2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x14ac:dyDescent="0.2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x14ac:dyDescent="0.2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x14ac:dyDescent="0.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x14ac:dyDescent="0.2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x14ac:dyDescent="0.2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x14ac:dyDescent="0.2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x14ac:dyDescent="0.2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x14ac:dyDescent="0.2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x14ac:dyDescent="0.2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x14ac:dyDescent="0.2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x14ac:dyDescent="0.2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x14ac:dyDescent="0.2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x14ac:dyDescent="0.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x14ac:dyDescent="0.2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x14ac:dyDescent="0.2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x14ac:dyDescent="0.2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x14ac:dyDescent="0.2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x14ac:dyDescent="0.2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x14ac:dyDescent="0.2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x14ac:dyDescent="0.2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x14ac:dyDescent="0.2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x14ac:dyDescent="0.2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x14ac:dyDescent="0.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x14ac:dyDescent="0.2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x14ac:dyDescent="0.2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x14ac:dyDescent="0.2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x14ac:dyDescent="0.2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x14ac:dyDescent="0.2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x14ac:dyDescent="0.2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x14ac:dyDescent="0.2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x14ac:dyDescent="0.2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x14ac:dyDescent="0.2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x14ac:dyDescent="0.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x14ac:dyDescent="0.2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x14ac:dyDescent="0.2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x14ac:dyDescent="0.2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x14ac:dyDescent="0.2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x14ac:dyDescent="0.2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x14ac:dyDescent="0.2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x14ac:dyDescent="0.2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x14ac:dyDescent="0.2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x14ac:dyDescent="0.2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x14ac:dyDescent="0.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x14ac:dyDescent="0.2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x14ac:dyDescent="0.2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x14ac:dyDescent="0.2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x14ac:dyDescent="0.2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x14ac:dyDescent="0.2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x14ac:dyDescent="0.2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x14ac:dyDescent="0.2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x14ac:dyDescent="0.2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x14ac:dyDescent="0.2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x14ac:dyDescent="0.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x14ac:dyDescent="0.2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x14ac:dyDescent="0.2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x14ac:dyDescent="0.2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x14ac:dyDescent="0.2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x14ac:dyDescent="0.2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x14ac:dyDescent="0.2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x14ac:dyDescent="0.2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x14ac:dyDescent="0.2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x14ac:dyDescent="0.2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x14ac:dyDescent="0.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x14ac:dyDescent="0.2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x14ac:dyDescent="0.2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x14ac:dyDescent="0.2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x14ac:dyDescent="0.2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x14ac:dyDescent="0.2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x14ac:dyDescent="0.2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x14ac:dyDescent="0.2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x14ac:dyDescent="0.2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x14ac:dyDescent="0.2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x14ac:dyDescent="0.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x14ac:dyDescent="0.2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x14ac:dyDescent="0.2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x14ac:dyDescent="0.2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x14ac:dyDescent="0.2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x14ac:dyDescent="0.2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x14ac:dyDescent="0.2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x14ac:dyDescent="0.2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x14ac:dyDescent="0.2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x14ac:dyDescent="0.2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x14ac:dyDescent="0.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x14ac:dyDescent="0.2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x14ac:dyDescent="0.2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x14ac:dyDescent="0.2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x14ac:dyDescent="0.2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x14ac:dyDescent="0.2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x14ac:dyDescent="0.2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x14ac:dyDescent="0.2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x14ac:dyDescent="0.2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x14ac:dyDescent="0.2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x14ac:dyDescent="0.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x14ac:dyDescent="0.2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x14ac:dyDescent="0.2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x14ac:dyDescent="0.2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x14ac:dyDescent="0.2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x14ac:dyDescent="0.2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x14ac:dyDescent="0.2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x14ac:dyDescent="0.2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x14ac:dyDescent="0.2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x14ac:dyDescent="0.2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x14ac:dyDescent="0.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x14ac:dyDescent="0.2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x14ac:dyDescent="0.2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x14ac:dyDescent="0.2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x14ac:dyDescent="0.2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x14ac:dyDescent="0.2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x14ac:dyDescent="0.2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x14ac:dyDescent="0.2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x14ac:dyDescent="0.2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x14ac:dyDescent="0.2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x14ac:dyDescent="0.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x14ac:dyDescent="0.2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x14ac:dyDescent="0.2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x14ac:dyDescent="0.2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x14ac:dyDescent="0.2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x14ac:dyDescent="0.2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x14ac:dyDescent="0.2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x14ac:dyDescent="0.2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x14ac:dyDescent="0.2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x14ac:dyDescent="0.2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x14ac:dyDescent="0.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x14ac:dyDescent="0.2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x14ac:dyDescent="0.2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x14ac:dyDescent="0.2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x14ac:dyDescent="0.2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x14ac:dyDescent="0.2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x14ac:dyDescent="0.2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x14ac:dyDescent="0.2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x14ac:dyDescent="0.2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x14ac:dyDescent="0.2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x14ac:dyDescent="0.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x14ac:dyDescent="0.2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x14ac:dyDescent="0.2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x14ac:dyDescent="0.2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x14ac:dyDescent="0.2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x14ac:dyDescent="0.2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x14ac:dyDescent="0.2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x14ac:dyDescent="0.2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x14ac:dyDescent="0.2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x14ac:dyDescent="0.2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x14ac:dyDescent="0.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x14ac:dyDescent="0.2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x14ac:dyDescent="0.2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x14ac:dyDescent="0.2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x14ac:dyDescent="0.2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x14ac:dyDescent="0.2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x14ac:dyDescent="0.2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x14ac:dyDescent="0.2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x14ac:dyDescent="0.2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x14ac:dyDescent="0.2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x14ac:dyDescent="0.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x14ac:dyDescent="0.2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x14ac:dyDescent="0.2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x14ac:dyDescent="0.2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x14ac:dyDescent="0.2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x14ac:dyDescent="0.2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x14ac:dyDescent="0.2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x14ac:dyDescent="0.2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x14ac:dyDescent="0.2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x14ac:dyDescent="0.2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x14ac:dyDescent="0.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x14ac:dyDescent="0.2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x14ac:dyDescent="0.2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x14ac:dyDescent="0.2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x14ac:dyDescent="0.2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x14ac:dyDescent="0.2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x14ac:dyDescent="0.2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x14ac:dyDescent="0.2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x14ac:dyDescent="0.2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x14ac:dyDescent="0.2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x14ac:dyDescent="0.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x14ac:dyDescent="0.2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x14ac:dyDescent="0.2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x14ac:dyDescent="0.2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x14ac:dyDescent="0.2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x14ac:dyDescent="0.2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x14ac:dyDescent="0.2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x14ac:dyDescent="0.2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x14ac:dyDescent="0.2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x14ac:dyDescent="0.2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x14ac:dyDescent="0.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x14ac:dyDescent="0.2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x14ac:dyDescent="0.2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x14ac:dyDescent="0.2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x14ac:dyDescent="0.2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x14ac:dyDescent="0.2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x14ac:dyDescent="0.2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x14ac:dyDescent="0.2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x14ac:dyDescent="0.2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x14ac:dyDescent="0.2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x14ac:dyDescent="0.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x14ac:dyDescent="0.2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x14ac:dyDescent="0.2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x14ac:dyDescent="0.2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x14ac:dyDescent="0.2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x14ac:dyDescent="0.2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x14ac:dyDescent="0.2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x14ac:dyDescent="0.2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x14ac:dyDescent="0.2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x14ac:dyDescent="0.2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x14ac:dyDescent="0.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x14ac:dyDescent="0.2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x14ac:dyDescent="0.2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x14ac:dyDescent="0.2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x14ac:dyDescent="0.2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x14ac:dyDescent="0.2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x14ac:dyDescent="0.2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x14ac:dyDescent="0.2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x14ac:dyDescent="0.2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x14ac:dyDescent="0.2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x14ac:dyDescent="0.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x14ac:dyDescent="0.2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x14ac:dyDescent="0.2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x14ac:dyDescent="0.2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x14ac:dyDescent="0.2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x14ac:dyDescent="0.2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x14ac:dyDescent="0.2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x14ac:dyDescent="0.2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x14ac:dyDescent="0.2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x14ac:dyDescent="0.2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x14ac:dyDescent="0.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x14ac:dyDescent="0.2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x14ac:dyDescent="0.2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x14ac:dyDescent="0.2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x14ac:dyDescent="0.2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x14ac:dyDescent="0.2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x14ac:dyDescent="0.2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x14ac:dyDescent="0.2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x14ac:dyDescent="0.2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x14ac:dyDescent="0.2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x14ac:dyDescent="0.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x14ac:dyDescent="0.2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x14ac:dyDescent="0.2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x14ac:dyDescent="0.2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x14ac:dyDescent="0.2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x14ac:dyDescent="0.2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x14ac:dyDescent="0.2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x14ac:dyDescent="0.2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x14ac:dyDescent="0.2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x14ac:dyDescent="0.2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x14ac:dyDescent="0.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x14ac:dyDescent="0.2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x14ac:dyDescent="0.2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x14ac:dyDescent="0.2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x14ac:dyDescent="0.2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x14ac:dyDescent="0.2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x14ac:dyDescent="0.2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x14ac:dyDescent="0.2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x14ac:dyDescent="0.2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x14ac:dyDescent="0.2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x14ac:dyDescent="0.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x14ac:dyDescent="0.2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x14ac:dyDescent="0.2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x14ac:dyDescent="0.2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x14ac:dyDescent="0.2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x14ac:dyDescent="0.2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x14ac:dyDescent="0.2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x14ac:dyDescent="0.2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x14ac:dyDescent="0.2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x14ac:dyDescent="0.2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x14ac:dyDescent="0.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x14ac:dyDescent="0.2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x14ac:dyDescent="0.2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x14ac:dyDescent="0.2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x14ac:dyDescent="0.2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x14ac:dyDescent="0.2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x14ac:dyDescent="0.2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x14ac:dyDescent="0.2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x14ac:dyDescent="0.2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x14ac:dyDescent="0.2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x14ac:dyDescent="0.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x14ac:dyDescent="0.2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x14ac:dyDescent="0.2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x14ac:dyDescent="0.2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x14ac:dyDescent="0.2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x14ac:dyDescent="0.2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x14ac:dyDescent="0.2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x14ac:dyDescent="0.2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x14ac:dyDescent="0.2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x14ac:dyDescent="0.2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x14ac:dyDescent="0.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x14ac:dyDescent="0.2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x14ac:dyDescent="0.2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x14ac:dyDescent="0.2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x14ac:dyDescent="0.2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x14ac:dyDescent="0.2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x14ac:dyDescent="0.2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x14ac:dyDescent="0.2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x14ac:dyDescent="0.2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x14ac:dyDescent="0.2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x14ac:dyDescent="0.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x14ac:dyDescent="0.2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x14ac:dyDescent="0.2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x14ac:dyDescent="0.2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x14ac:dyDescent="0.2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x14ac:dyDescent="0.2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x14ac:dyDescent="0.2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x14ac:dyDescent="0.2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x14ac:dyDescent="0.2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x14ac:dyDescent="0.2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x14ac:dyDescent="0.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x14ac:dyDescent="0.2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x14ac:dyDescent="0.2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x14ac:dyDescent="0.2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x14ac:dyDescent="0.2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x14ac:dyDescent="0.2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x14ac:dyDescent="0.2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x14ac:dyDescent="0.2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x14ac:dyDescent="0.2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x14ac:dyDescent="0.2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x14ac:dyDescent="0.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x14ac:dyDescent="0.2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x14ac:dyDescent="0.2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x14ac:dyDescent="0.2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x14ac:dyDescent="0.2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x14ac:dyDescent="0.2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x14ac:dyDescent="0.2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x14ac:dyDescent="0.2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x14ac:dyDescent="0.2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x14ac:dyDescent="0.2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x14ac:dyDescent="0.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x14ac:dyDescent="0.2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x14ac:dyDescent="0.2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x14ac:dyDescent="0.2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x14ac:dyDescent="0.2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x14ac:dyDescent="0.2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x14ac:dyDescent="0.2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x14ac:dyDescent="0.2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x14ac:dyDescent="0.2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x14ac:dyDescent="0.2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x14ac:dyDescent="0.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x14ac:dyDescent="0.2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x14ac:dyDescent="0.2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x14ac:dyDescent="0.2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x14ac:dyDescent="0.2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x14ac:dyDescent="0.2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x14ac:dyDescent="0.2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x14ac:dyDescent="0.2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x14ac:dyDescent="0.2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x14ac:dyDescent="0.2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x14ac:dyDescent="0.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x14ac:dyDescent="0.2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x14ac:dyDescent="0.2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x14ac:dyDescent="0.2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x14ac:dyDescent="0.2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x14ac:dyDescent="0.2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x14ac:dyDescent="0.2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x14ac:dyDescent="0.2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x14ac:dyDescent="0.2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x14ac:dyDescent="0.2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x14ac:dyDescent="0.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x14ac:dyDescent="0.2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x14ac:dyDescent="0.2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x14ac:dyDescent="0.2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x14ac:dyDescent="0.2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x14ac:dyDescent="0.2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x14ac:dyDescent="0.2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x14ac:dyDescent="0.2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x14ac:dyDescent="0.2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x14ac:dyDescent="0.2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x14ac:dyDescent="0.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x14ac:dyDescent="0.2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x14ac:dyDescent="0.2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x14ac:dyDescent="0.2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x14ac:dyDescent="0.2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x14ac:dyDescent="0.2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x14ac:dyDescent="0.2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x14ac:dyDescent="0.2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x14ac:dyDescent="0.2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x14ac:dyDescent="0.2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x14ac:dyDescent="0.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x14ac:dyDescent="0.2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x14ac:dyDescent="0.2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x14ac:dyDescent="0.2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x14ac:dyDescent="0.2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x14ac:dyDescent="0.2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x14ac:dyDescent="0.2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x14ac:dyDescent="0.2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x14ac:dyDescent="0.2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x14ac:dyDescent="0.2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x14ac:dyDescent="0.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x14ac:dyDescent="0.2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x14ac:dyDescent="0.2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x14ac:dyDescent="0.2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x14ac:dyDescent="0.2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x14ac:dyDescent="0.2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x14ac:dyDescent="0.2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x14ac:dyDescent="0.2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x14ac:dyDescent="0.2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x14ac:dyDescent="0.2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x14ac:dyDescent="0.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x14ac:dyDescent="0.2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x14ac:dyDescent="0.2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x14ac:dyDescent="0.2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x14ac:dyDescent="0.2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x14ac:dyDescent="0.2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x14ac:dyDescent="0.2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x14ac:dyDescent="0.2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x14ac:dyDescent="0.2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x14ac:dyDescent="0.2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x14ac:dyDescent="0.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x14ac:dyDescent="0.2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x14ac:dyDescent="0.2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x14ac:dyDescent="0.2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x14ac:dyDescent="0.2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x14ac:dyDescent="0.2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x14ac:dyDescent="0.2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x14ac:dyDescent="0.2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x14ac:dyDescent="0.2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x14ac:dyDescent="0.2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x14ac:dyDescent="0.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x14ac:dyDescent="0.2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x14ac:dyDescent="0.2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x14ac:dyDescent="0.2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x14ac:dyDescent="0.2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x14ac:dyDescent="0.2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x14ac:dyDescent="0.2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x14ac:dyDescent="0.2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x14ac:dyDescent="0.2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x14ac:dyDescent="0.2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x14ac:dyDescent="0.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x14ac:dyDescent="0.2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x14ac:dyDescent="0.2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x14ac:dyDescent="0.2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x14ac:dyDescent="0.2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x14ac:dyDescent="0.2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x14ac:dyDescent="0.2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x14ac:dyDescent="0.2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x14ac:dyDescent="0.2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x14ac:dyDescent="0.2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x14ac:dyDescent="0.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x14ac:dyDescent="0.2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x14ac:dyDescent="0.2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x14ac:dyDescent="0.2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x14ac:dyDescent="0.2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x14ac:dyDescent="0.2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x14ac:dyDescent="0.2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x14ac:dyDescent="0.2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x14ac:dyDescent="0.2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x14ac:dyDescent="0.2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x14ac:dyDescent="0.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x14ac:dyDescent="0.2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x14ac:dyDescent="0.2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x14ac:dyDescent="0.2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x14ac:dyDescent="0.2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x14ac:dyDescent="0.2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x14ac:dyDescent="0.2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x14ac:dyDescent="0.2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x14ac:dyDescent="0.2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x14ac:dyDescent="0.2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x14ac:dyDescent="0.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x14ac:dyDescent="0.2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x14ac:dyDescent="0.2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x14ac:dyDescent="0.2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x14ac:dyDescent="0.2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x14ac:dyDescent="0.2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x14ac:dyDescent="0.2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x14ac:dyDescent="0.2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x14ac:dyDescent="0.2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x14ac:dyDescent="0.2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x14ac:dyDescent="0.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x14ac:dyDescent="0.2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x14ac:dyDescent="0.2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x14ac:dyDescent="0.2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x14ac:dyDescent="0.2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x14ac:dyDescent="0.2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x14ac:dyDescent="0.2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x14ac:dyDescent="0.2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x14ac:dyDescent="0.2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x14ac:dyDescent="0.2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x14ac:dyDescent="0.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x14ac:dyDescent="0.2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x14ac:dyDescent="0.2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x14ac:dyDescent="0.2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x14ac:dyDescent="0.2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x14ac:dyDescent="0.2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x14ac:dyDescent="0.2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x14ac:dyDescent="0.2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x14ac:dyDescent="0.2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x14ac:dyDescent="0.2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x14ac:dyDescent="0.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x14ac:dyDescent="0.2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x14ac:dyDescent="0.2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x14ac:dyDescent="0.2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x14ac:dyDescent="0.2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x14ac:dyDescent="0.2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x14ac:dyDescent="0.2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x14ac:dyDescent="0.2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x14ac:dyDescent="0.2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x14ac:dyDescent="0.2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x14ac:dyDescent="0.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x14ac:dyDescent="0.2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x14ac:dyDescent="0.2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x14ac:dyDescent="0.2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x14ac:dyDescent="0.2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x14ac:dyDescent="0.2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x14ac:dyDescent="0.2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x14ac:dyDescent="0.2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x14ac:dyDescent="0.2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x14ac:dyDescent="0.2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x14ac:dyDescent="0.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x14ac:dyDescent="0.2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x14ac:dyDescent="0.2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x14ac:dyDescent="0.2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x14ac:dyDescent="0.2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x14ac:dyDescent="0.2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x14ac:dyDescent="0.2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x14ac:dyDescent="0.2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x14ac:dyDescent="0.2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x14ac:dyDescent="0.2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x14ac:dyDescent="0.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x14ac:dyDescent="0.2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x14ac:dyDescent="0.2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x14ac:dyDescent="0.2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x14ac:dyDescent="0.2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x14ac:dyDescent="0.2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x14ac:dyDescent="0.2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x14ac:dyDescent="0.2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x14ac:dyDescent="0.2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x14ac:dyDescent="0.2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x14ac:dyDescent="0.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x14ac:dyDescent="0.2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x14ac:dyDescent="0.2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x14ac:dyDescent="0.2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x14ac:dyDescent="0.2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x14ac:dyDescent="0.2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x14ac:dyDescent="0.2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x14ac:dyDescent="0.2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x14ac:dyDescent="0.2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x14ac:dyDescent="0.2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x14ac:dyDescent="0.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x14ac:dyDescent="0.2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x14ac:dyDescent="0.2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x14ac:dyDescent="0.2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x14ac:dyDescent="0.2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x14ac:dyDescent="0.2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x14ac:dyDescent="0.2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x14ac:dyDescent="0.2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x14ac:dyDescent="0.2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x14ac:dyDescent="0.2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x14ac:dyDescent="0.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x14ac:dyDescent="0.2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x14ac:dyDescent="0.2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x14ac:dyDescent="0.2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x14ac:dyDescent="0.2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x14ac:dyDescent="0.2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x14ac:dyDescent="0.2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x14ac:dyDescent="0.2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x14ac:dyDescent="0.2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x14ac:dyDescent="0.2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x14ac:dyDescent="0.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x14ac:dyDescent="0.2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x14ac:dyDescent="0.2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x14ac:dyDescent="0.2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x14ac:dyDescent="0.2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x14ac:dyDescent="0.2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x14ac:dyDescent="0.2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x14ac:dyDescent="0.2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x14ac:dyDescent="0.2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x14ac:dyDescent="0.2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x14ac:dyDescent="0.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x14ac:dyDescent="0.2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x14ac:dyDescent="0.2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x14ac:dyDescent="0.2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x14ac:dyDescent="0.2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x14ac:dyDescent="0.2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x14ac:dyDescent="0.2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x14ac:dyDescent="0.2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x14ac:dyDescent="0.2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x14ac:dyDescent="0.2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x14ac:dyDescent="0.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x14ac:dyDescent="0.2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x14ac:dyDescent="0.2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x14ac:dyDescent="0.2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x14ac:dyDescent="0.2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x14ac:dyDescent="0.2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75" x14ac:dyDescent="0.2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75" x14ac:dyDescent="0.2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75" x14ac:dyDescent="0.2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75" x14ac:dyDescent="0.2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75" x14ac:dyDescent="0.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75" x14ac:dyDescent="0.2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75" x14ac:dyDescent="0.2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75" x14ac:dyDescent="0.2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75" x14ac:dyDescent="0.2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75" x14ac:dyDescent="0.2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75" x14ac:dyDescent="0.2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75" x14ac:dyDescent="0.2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75" x14ac:dyDescent="0.2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75" x14ac:dyDescent="0.2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75" x14ac:dyDescent="0.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75" x14ac:dyDescent="0.2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75" x14ac:dyDescent="0.2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.75" x14ac:dyDescent="0.2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.75" x14ac:dyDescent="0.2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2.75" x14ac:dyDescent="0.2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2.75" x14ac:dyDescent="0.2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2.75" x14ac:dyDescent="0.2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2.75" x14ac:dyDescent="0.2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spans="1:26" ht="12.75" x14ac:dyDescent="0.2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spans="1:26" ht="12.75" x14ac:dyDescent="0.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</sheetData>
  <conditionalFormatting sqref="B28">
    <cfRule type="notContainsBlanks" dxfId="0" priority="1">
      <formula>LEN(TRIM(B28))&gt;0</formula>
    </cfRule>
  </conditionalFormatting>
  <dataValidations count="5">
    <dataValidation type="list" allowBlank="1" showInputMessage="1" prompt="Click and enter a value from the list of items" sqref="D2:D59 D61:D101">
      <formula1>"Food,Rent,Outside Food,Transportation,Maintenance,Groceries,Dining Out,Electricity,Water,Gas,Internet,Phone,Doctor Visits,Prescriptions,Insurance Premiums,Clothing,Toiletries,Haircuts,Fitness,Online Shopping,Fule,Movies,Hobbies,Other"</formula1>
    </dataValidation>
    <dataValidation type="custom" allowBlank="1" showDropDown="1" sqref="B2:B59 B61:B101">
      <formula1>OR(NOT(ISERROR(DATEVALUE(B2))), AND(ISNUMBER(B2), LEFT(CELL("format", B2))="D"))</formula1>
    </dataValidation>
    <dataValidation type="custom" allowBlank="1" showDropDown="1" sqref="A2:A101 F2:F59 F61:F101">
      <formula1>AND(ISNUMBER(A2),(NOT(OR(NOT(ISERROR(DATEVALUE(A2))), AND(ISNUMBER(A2), LEFT(CELL("format", A2))="D")))))</formula1>
    </dataValidation>
    <dataValidation type="list" allowBlank="1" sqref="C2:C59 C61:C101">
      <formula1>"Shri,Mahi"</formula1>
    </dataValidation>
    <dataValidation type="list" allowBlank="1" sqref="E61:E101 E2:E59">
      <formula1>"UPI,Cash,Net Banking,Credit Card,Cheque"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20"/>
  <sheetViews>
    <sheetView showGridLines="0" workbookViewId="0">
      <selection activeCell="I6" sqref="I6"/>
    </sheetView>
  </sheetViews>
  <sheetFormatPr defaultColWidth="12.5703125" defaultRowHeight="15.75" customHeight="1" x14ac:dyDescent="0.2"/>
  <sheetData>
    <row r="1" spans="1:3" x14ac:dyDescent="0.2">
      <c r="A1" s="13" t="s">
        <v>2</v>
      </c>
      <c r="B1" s="13" t="s">
        <v>3</v>
      </c>
      <c r="C1" s="14" t="s">
        <v>48</v>
      </c>
    </row>
    <row r="2" spans="1:3" x14ac:dyDescent="0.2">
      <c r="A2" s="15" t="s">
        <v>8</v>
      </c>
      <c r="B2" s="15" t="s">
        <v>17</v>
      </c>
      <c r="C2" s="16">
        <v>30</v>
      </c>
    </row>
    <row r="3" spans="1:3" x14ac:dyDescent="0.2">
      <c r="A3" s="17"/>
      <c r="B3" s="18" t="s">
        <v>16</v>
      </c>
      <c r="C3" s="19">
        <v>849</v>
      </c>
    </row>
    <row r="4" spans="1:3" x14ac:dyDescent="0.2">
      <c r="A4" s="17"/>
      <c r="B4" s="18" t="s">
        <v>13</v>
      </c>
      <c r="C4" s="19">
        <v>620</v>
      </c>
    </row>
    <row r="5" spans="1:3" x14ac:dyDescent="0.2">
      <c r="A5" s="17"/>
      <c r="B5" s="18" t="s">
        <v>11</v>
      </c>
      <c r="C5" s="19">
        <v>1898.5</v>
      </c>
    </row>
    <row r="6" spans="1:3" x14ac:dyDescent="0.2">
      <c r="A6" s="17"/>
      <c r="B6" s="18" t="s">
        <v>19</v>
      </c>
      <c r="C6" s="19">
        <v>370</v>
      </c>
    </row>
    <row r="7" spans="1:3" x14ac:dyDescent="0.2">
      <c r="A7" s="17"/>
      <c r="B7" s="18" t="s">
        <v>15</v>
      </c>
      <c r="C7" s="19">
        <v>475</v>
      </c>
    </row>
    <row r="8" spans="1:3" x14ac:dyDescent="0.2">
      <c r="A8" s="17"/>
      <c r="B8" s="18" t="s">
        <v>12</v>
      </c>
      <c r="C8" s="19">
        <v>1923</v>
      </c>
    </row>
    <row r="9" spans="1:3" x14ac:dyDescent="0.2">
      <c r="A9" s="17"/>
      <c r="B9" s="18" t="s">
        <v>9</v>
      </c>
      <c r="C9" s="19">
        <v>2037</v>
      </c>
    </row>
    <row r="10" spans="1:3" x14ac:dyDescent="0.2">
      <c r="A10" s="17"/>
      <c r="B10" s="18" t="s">
        <v>20</v>
      </c>
      <c r="C10" s="19">
        <v>18000</v>
      </c>
    </row>
    <row r="11" spans="1:3" x14ac:dyDescent="0.2">
      <c r="A11" s="17"/>
      <c r="B11" s="18" t="s">
        <v>14</v>
      </c>
      <c r="C11" s="19">
        <v>240</v>
      </c>
    </row>
    <row r="12" spans="1:3" x14ac:dyDescent="0.2">
      <c r="A12" s="17"/>
      <c r="B12" s="18" t="s">
        <v>52</v>
      </c>
      <c r="C12" s="19">
        <v>608</v>
      </c>
    </row>
    <row r="13" spans="1:3" x14ac:dyDescent="0.2">
      <c r="A13" s="15" t="s">
        <v>49</v>
      </c>
      <c r="B13" s="20"/>
      <c r="C13" s="16">
        <v>27050.5</v>
      </c>
    </row>
    <row r="14" spans="1:3" x14ac:dyDescent="0.2">
      <c r="A14" s="15" t="s">
        <v>18</v>
      </c>
      <c r="B14" s="15" t="s">
        <v>17</v>
      </c>
      <c r="C14" s="16">
        <v>1040</v>
      </c>
    </row>
    <row r="15" spans="1:3" x14ac:dyDescent="0.2">
      <c r="A15" s="17"/>
      <c r="B15" s="18" t="s">
        <v>13</v>
      </c>
      <c r="C15" s="19">
        <v>520</v>
      </c>
    </row>
    <row r="16" spans="1:3" x14ac:dyDescent="0.2">
      <c r="A16" s="17"/>
      <c r="B16" s="18" t="s">
        <v>12</v>
      </c>
      <c r="C16" s="19">
        <v>1870</v>
      </c>
    </row>
    <row r="17" spans="1:3" x14ac:dyDescent="0.2">
      <c r="A17" s="17"/>
      <c r="B17" s="18" t="s">
        <v>14</v>
      </c>
      <c r="C17" s="19">
        <v>209</v>
      </c>
    </row>
    <row r="18" spans="1:3" x14ac:dyDescent="0.2">
      <c r="A18" s="17"/>
      <c r="B18" s="18" t="s">
        <v>52</v>
      </c>
      <c r="C18" s="19">
        <v>200</v>
      </c>
    </row>
    <row r="19" spans="1:3" x14ac:dyDescent="0.2">
      <c r="A19" s="15" t="s">
        <v>50</v>
      </c>
      <c r="B19" s="20"/>
      <c r="C19" s="16">
        <v>3839</v>
      </c>
    </row>
    <row r="20" spans="1:3" x14ac:dyDescent="0.2">
      <c r="A20" s="21" t="s">
        <v>51</v>
      </c>
      <c r="B20" s="22"/>
      <c r="C20" s="23">
        <v>30889.5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NOV 2025</vt:lpstr>
      <vt:lpstr>Pivot 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mahesh borse</cp:lastModifiedBy>
  <dcterms:modified xsi:type="dcterms:W3CDTF">2025-12-28T05:36:02Z</dcterms:modified>
</cp:coreProperties>
</file>